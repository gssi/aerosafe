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lbertopetrucci/Documents/github/aerosafe/downloads/"/>
    </mc:Choice>
  </mc:AlternateContent>
  <xr:revisionPtr revIDLastSave="0" documentId="13_ncr:1_{B82005C5-E0F1-8D4B-B15D-470BD96E738F}" xr6:coauthVersionLast="47" xr6:coauthVersionMax="47" xr10:uidLastSave="{00000000-0000-0000-0000-000000000000}"/>
  <bookViews>
    <workbookView xWindow="38400" yWindow="500" windowWidth="38400" windowHeight="21100" xr2:uid="{00000000-000D-0000-FFFF-FFFF00000000}"/>
  </bookViews>
  <sheets>
    <sheet name="Risposte del modulo 1" sheetId="1" r:id="rId1"/>
    <sheet name="Values" sheetId="2" r:id="rId2"/>
  </sheets>
  <definedNames>
    <definedName name="_xlnm._FilterDatabase" localSheetId="0" hidden="1">'Risposte del modulo 1'!$A$1:$M$29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K10" i="1"/>
  <c r="J5" i="1" l="1"/>
  <c r="L3" i="1"/>
  <c r="L4" i="1"/>
  <c r="L5" i="1"/>
  <c r="J4" i="1"/>
  <c r="J3" i="1"/>
  <c r="B3" i="2"/>
  <c r="B2" i="2"/>
  <c r="L25" i="1"/>
  <c r="L24" i="1"/>
  <c r="L17" i="1"/>
  <c r="L14" i="1"/>
  <c r="L11" i="1"/>
  <c r="L9" i="1"/>
  <c r="L10" i="1"/>
  <c r="L8" i="1"/>
  <c r="J9" i="1"/>
  <c r="M9" i="1" s="1"/>
  <c r="J10" i="1"/>
  <c r="M10" i="1" s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M24" i="1" s="1"/>
  <c r="J25" i="1"/>
  <c r="J26" i="1"/>
  <c r="J27" i="1"/>
  <c r="J28" i="1"/>
  <c r="J29" i="1"/>
  <c r="J8" i="1"/>
  <c r="M8" i="1" l="1"/>
  <c r="K8" i="1"/>
  <c r="K17" i="1"/>
  <c r="K14" i="1"/>
  <c r="K25" i="1"/>
  <c r="K11" i="1"/>
  <c r="M17" i="1"/>
  <c r="M11" i="1"/>
  <c r="M14" i="1"/>
  <c r="M25" i="1"/>
</calcChain>
</file>

<file path=xl/sharedStrings.xml><?xml version="1.0" encoding="utf-8"?>
<sst xmlns="http://schemas.openxmlformats.org/spreadsheetml/2006/main" count="114" uniqueCount="89">
  <si>
    <t>To what extent do you agree that regulatory conformance checks should be mandatory for A-critical systems?</t>
  </si>
  <si>
    <t>To what extent do you agree that continuous monitoring and recertification should be mandatory for post-deployment?</t>
  </si>
  <si>
    <t>To what extent do you agree that external validation of training data and models is sufficient for critical systems (B and A)?</t>
  </si>
  <si>
    <t>To what extent do you agree that external requirement verification is sufficient for critical systems (B and A)?</t>
  </si>
  <si>
    <t>To what extent do you agree that the proposed integration and traceability questions are sufficient to ensure consistency across lifecycle phases?</t>
  </si>
  <si>
    <t xml:space="preserve">For critical applications, to what extent do you agree that feedback loop in model design improves model continuous improvement?
Feedback Loops: Establish mechanisms to collect feedback from users or systems to continuously improve the model in order to </t>
  </si>
  <si>
    <t>To what extent do you agree that model obsolescence is a risk, and that defining an update plan is important?</t>
  </si>
  <si>
    <t>To what extent do you agree that pre and post deployment validation and monitoring is important to qualify critical models?</t>
  </si>
  <si>
    <t>To what extent do you agree that adversarial robustness testing and stress testing should be mandatory for A-critical systems?</t>
  </si>
  <si>
    <t>To what extent do you agree that generating test cases from the design domain and that simulation-based testing are necessary to ensure model quality during the verification phase, considering criticality levels?</t>
  </si>
  <si>
    <t>To what extent do you agree that the proposed verification methodologies (e.g., formal methods, robustness testing) are necessary to ensure model quality during the verification phase, considering criticality levels?</t>
  </si>
  <si>
    <t>To what extent do you agree that model performance validation is sufficient to ensure model quality during the learning phase, considering criticality levels?</t>
  </si>
  <si>
    <t>To what extent do you agree that the proposed methodologies (e.g., data leakage, data mismatch, drift analysis) are necessary to ensure model quality during the learning phase, considering criticality levels?</t>
  </si>
  <si>
    <t>To what extent do you agree that the following three phases (TRR, CDR, VVR) are sufficient for software qualification and follow the ECSS standards?</t>
  </si>
  <si>
    <t>Experience with ECSS standards</t>
  </si>
  <si>
    <t>Antwerp Space</t>
  </si>
  <si>
    <t xml:space="preserve">If you selected “Other”, please specify the organization or company you work for: </t>
  </si>
  <si>
    <t>Other</t>
  </si>
  <si>
    <t>Experience with AI/ML systems</t>
  </si>
  <si>
    <t>0–2 years (Junior / Early career)</t>
  </si>
  <si>
    <t>Please indicate the name of the organization or company you are currently employed by</t>
  </si>
  <si>
    <t>To what extent do you agree that model explainability and bias/fairness audits help to qualify a model with the highest criticality level?</t>
  </si>
  <si>
    <t>To what extent do you agree that real-time model monitoring (e.g., for model drift or failures) should be mandatory for A-critical systems?</t>
  </si>
  <si>
    <t>For critical applications, to what extent do you agree that redundancy improves robustness? What do you consider the right trade-off between robustness and resource usage?</t>
  </si>
  <si>
    <t>To what extent do you agree that using integrated development environments (from GPU-based development/testing to real-target deployment) impacts qualification?</t>
  </si>
  <si>
    <t>To what extent do you agree that embeddability is a critical factor for model selection and design, especially for deployment on embedded hardware?</t>
  </si>
  <si>
    <t>16+ years (Expert)</t>
  </si>
  <si>
    <t>3–5 years (Intermediate)</t>
  </si>
  <si>
    <t>Years of experience in your field</t>
  </si>
  <si>
    <t>Software/AI Embedded Developer</t>
  </si>
  <si>
    <t>Software Product Assurance/Quality</t>
  </si>
  <si>
    <t>Product Assurance/Quality</t>
  </si>
  <si>
    <t>To what extent do you agree that the dataset quality verification process is sufficient for AI applications?</t>
  </si>
  <si>
    <t>To what extent do you agree that the proposed configuration management phases (version control, change management, baseline management, traceability) are sufficient and follow the ECSS standard?</t>
  </si>
  <si>
    <t>Please indicate your professional background (select one or specify)</t>
  </si>
  <si>
    <t>Formal Review</t>
  </si>
  <si>
    <t>Configuration Management</t>
  </si>
  <si>
    <t>Data Management</t>
  </si>
  <si>
    <t>Model Learning</t>
  </si>
  <si>
    <t>Model Verification</t>
  </si>
  <si>
    <t>Model Deployment</t>
  </si>
  <si>
    <t>IMVV</t>
  </si>
  <si>
    <t>Mean</t>
  </si>
  <si>
    <t>Std</t>
  </si>
  <si>
    <t>IQR</t>
  </si>
  <si>
    <t>Section</t>
  </si>
  <si>
    <t>Question 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</si>
  <si>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</si>
  <si>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</si>
  <si>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</si>
  <si>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</si>
  <si>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</si>
  <si>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</si>
  <si>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</si>
  <si>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</si>
  <si>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</si>
  <si>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</si>
  <si>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</si>
  <si>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</si>
  <si>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</si>
  <si>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</si>
  <si>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</si>
  <si>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</si>
  <si>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</si>
  <si>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</si>
  <si>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</si>
  <si>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</si>
  <si>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</si>
  <si>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</si>
  <si>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</si>
  <si>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</si>
  <si>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</si>
  <si>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</si>
  <si>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</si>
  <si>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</si>
  <si>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Reviewer</t>
  </si>
  <si>
    <t>Reviewer 1</t>
  </si>
  <si>
    <t>Reviewer 2</t>
  </si>
  <si>
    <t>Reviewer 3</t>
  </si>
  <si>
    <t>Reviewer 4</t>
  </si>
  <si>
    <t>Reviewer 5</t>
  </si>
  <si>
    <t>Reviewer 6</t>
  </si>
  <si>
    <t>Key</t>
  </si>
  <si>
    <t>Value</t>
  </si>
  <si>
    <t>To what extent do you agree that pre-deployment tests for unintended behaviour are sufficient for critical systems (B and A)?</t>
  </si>
  <si>
    <t>Safety Requirement Assurance &amp; 
Integration and Traceability</t>
  </si>
  <si>
    <t>Questions</t>
  </si>
  <si>
    <t>Absolute Mean</t>
  </si>
  <si>
    <t>Space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</si>
</sst>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2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2" fontId="0" fillId="3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2" fontId="4" fillId="3" borderId="4" xfId="0" applyNumberFormat="1" applyFont="1" applyFill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6CFE0"/>
          <bgColor rgb="FFD6CFE0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isposte del modulo 1-style" pivot="0" table="0" count="5" xr9:uid="{00000000-0011-0000-FFFF-FFFF00000000}">
      <tableStyleElement type="wholeTable" size="0" dxfId="5"/>
      <tableStyleElement type="headerRow" dxfId="4"/>
      <tableStyleElement type="total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9"/>
  <sheetViews>
    <sheetView tabSelected="1" zoomScaleNormal="100" workbookViewId="0">
      <pane ySplit="1" topLeftCell="A2" activePane="bottomLeft" state="frozen"/>
      <selection pane="bottomLeft" activeCell="C14" sqref="C14"/>
    </sheetView>
  </sheetViews>
  <sheetFormatPr baseColWidth="10" defaultColWidth="49.83203125" defaultRowHeight="13" x14ac:dyDescent="0.15"/>
  <cols>
    <col min="1" max="1" width="22.5" style="5" bestFit="1" customWidth="1"/>
    <col min="2" max="2" width="13.33203125" style="2" bestFit="1" customWidth="1"/>
    <col min="3" max="3" width="60.33203125" style="3" customWidth="1"/>
    <col min="4" max="4" width="22.1640625" style="1" bestFit="1" customWidth="1"/>
    <col min="5" max="8" width="29.83203125" style="1" bestFit="1" customWidth="1"/>
    <col min="9" max="9" width="28" style="4" bestFit="1" customWidth="1"/>
    <col min="10" max="10" width="8.1640625" style="4" bestFit="1" customWidth="1"/>
    <col min="11" max="11" width="13.1640625" style="21" bestFit="1" customWidth="1"/>
    <col min="12" max="12" width="6.6640625" style="4" bestFit="1" customWidth="1"/>
    <col min="13" max="13" width="7" style="1" bestFit="1" customWidth="1"/>
    <col min="14" max="16384" width="49.83203125" style="1"/>
  </cols>
  <sheetData>
    <row r="1" spans="1:13" ht="14" x14ac:dyDescent="0.15">
      <c r="A1" s="12" t="s">
        <v>45</v>
      </c>
      <c r="B1" s="12" t="s">
        <v>46</v>
      </c>
      <c r="C1" s="18" t="s">
        <v>86</v>
      </c>
      <c r="D1" s="12" t="s">
        <v>76</v>
      </c>
      <c r="E1" s="12" t="s">
        <v>77</v>
      </c>
      <c r="F1" s="12" t="s">
        <v>78</v>
      </c>
      <c r="G1" s="12" t="s">
        <v>79</v>
      </c>
      <c r="H1" s="12" t="s">
        <v>80</v>
      </c>
      <c r="I1" s="12" t="s">
        <v>81</v>
      </c>
      <c r="J1" s="12" t="s">
        <v>42</v>
      </c>
      <c r="K1" s="12" t="s">
        <v>87</v>
      </c>
      <c r="L1" s="12" t="s">
        <v>43</v>
      </c>
      <c r="M1" s="12" t="s">
        <v>44</v>
      </c>
    </row>
    <row r="2" spans="1:13" ht="14" x14ac:dyDescent="0.15">
      <c r="A2" s="23" t="s">
        <v>75</v>
      </c>
      <c r="B2" s="8" t="s">
        <v>47</v>
      </c>
      <c r="C2" s="10" t="s">
        <v>34</v>
      </c>
      <c r="D2" s="8" t="s">
        <v>31</v>
      </c>
      <c r="E2" s="8" t="s">
        <v>30</v>
      </c>
      <c r="F2" s="8" t="s">
        <v>30</v>
      </c>
      <c r="G2" s="8" t="s">
        <v>30</v>
      </c>
      <c r="H2" s="8" t="s">
        <v>30</v>
      </c>
      <c r="I2" s="8" t="s">
        <v>29</v>
      </c>
      <c r="J2" s="9"/>
      <c r="K2" s="19"/>
      <c r="L2" s="9"/>
      <c r="M2" s="9"/>
    </row>
    <row r="3" spans="1:13" ht="14" x14ac:dyDescent="0.15">
      <c r="A3" s="24"/>
      <c r="B3" s="8" t="s">
        <v>48</v>
      </c>
      <c r="C3" s="10" t="s">
        <v>28</v>
      </c>
      <c r="D3" s="8" t="s">
        <v>27</v>
      </c>
      <c r="E3" s="8" t="s">
        <v>26</v>
      </c>
      <c r="F3" s="8" t="s">
        <v>26</v>
      </c>
      <c r="G3" s="8" t="s">
        <v>27</v>
      </c>
      <c r="H3" s="8" t="s">
        <v>27</v>
      </c>
      <c r="I3" s="8" t="s">
        <v>19</v>
      </c>
      <c r="J3" s="9">
        <f>AVERAGE(VLOOKUP(D3,Values!$A$2:$B$4,2,0),VLOOKUP(E3,Values!$A$2:$B$4,2,0),VLOOKUP(F3,Values!$A$2:$B$4,2,0),VLOOKUP(G3,Values!$A$2:$B$4,2,0),VLOOKUP(H3,Values!$A$2:$B$4,2,0),VLOOKUP(I3,Values!$A$2:$B$4,2,0))</f>
        <v>7.5</v>
      </c>
      <c r="K3" s="19"/>
      <c r="L3" s="9">
        <f>STDEV(VLOOKUP(D3,Values!$A$2:$B$4,2,0),VLOOKUP(E3,Values!$A$2:$B$4,2,0),VLOOKUP(F3,Values!$A$2:$B$4,2,0),VLOOKUP(G3,Values!$A$2:$B$4,2,0),VLOOKUP(H3,Values!$A$2:$B$4,2,0),VLOOKUP(I3,Values!$A$2:$B$4,2,0))</f>
        <v>6.6858058601787116</v>
      </c>
      <c r="M3" s="9"/>
    </row>
    <row r="4" spans="1:13" ht="14" x14ac:dyDescent="0.15">
      <c r="A4" s="24"/>
      <c r="B4" s="8" t="s">
        <v>49</v>
      </c>
      <c r="C4" s="10" t="s">
        <v>14</v>
      </c>
      <c r="D4" s="8" t="s">
        <v>27</v>
      </c>
      <c r="E4" s="8" t="s">
        <v>26</v>
      </c>
      <c r="F4" s="8" t="s">
        <v>26</v>
      </c>
      <c r="G4" s="8" t="s">
        <v>27</v>
      </c>
      <c r="H4" s="8" t="s">
        <v>19</v>
      </c>
      <c r="I4" s="8" t="s">
        <v>19</v>
      </c>
      <c r="J4" s="9">
        <f>AVERAGE(VLOOKUP(D4,Values!$A$2:$B$4,2,0),VLOOKUP(E4,Values!$A$2:$B$4,2,0),VLOOKUP(F4,Values!$A$2:$B$4,2,0),VLOOKUP(G4,Values!$A$2:$B$4,2,0),VLOOKUP(H4,Values!$A$2:$B$4,2,0),VLOOKUP(I4,Values!$A$2:$B$4,2,0))</f>
        <v>7</v>
      </c>
      <c r="K4" s="19"/>
      <c r="L4" s="9">
        <f>STDEV(VLOOKUP(D4,Values!$A$2:$B$4,2,0),VLOOKUP(E4,Values!$A$2:$B$4,2,0),VLOOKUP(F4,Values!$A$2:$B$4,2,0),VLOOKUP(G4,Values!$A$2:$B$4,2,0),VLOOKUP(H4,Values!$A$2:$B$4,2,0),VLOOKUP(I4,Values!$A$2:$B$4,2,0))</f>
        <v>7.0992957397195395</v>
      </c>
      <c r="M4" s="9"/>
    </row>
    <row r="5" spans="1:13" ht="14" x14ac:dyDescent="0.15">
      <c r="A5" s="24"/>
      <c r="B5" s="8" t="s">
        <v>50</v>
      </c>
      <c r="C5" s="10" t="s">
        <v>18</v>
      </c>
      <c r="D5" s="8" t="s">
        <v>27</v>
      </c>
      <c r="E5" s="8" t="s">
        <v>19</v>
      </c>
      <c r="F5" s="8" t="s">
        <v>19</v>
      </c>
      <c r="G5" s="8" t="s">
        <v>19</v>
      </c>
      <c r="H5" s="8" t="s">
        <v>19</v>
      </c>
      <c r="I5" s="8" t="s">
        <v>27</v>
      </c>
      <c r="J5" s="9">
        <f>AVERAGE(VLOOKUP(D5,Values!$A$2:$B$4,2,0),VLOOKUP(E5,Values!$A$2:$B$4,2,0),VLOOKUP(F5,Values!$A$2:$B$4,2,0),VLOOKUP(G5,Values!$A$2:$B$4,2,0),VLOOKUP(H5,Values!$A$2:$B$4,2,0),VLOOKUP(I5,Values!$A$2:$B$4,2,0))</f>
        <v>2</v>
      </c>
      <c r="K5" s="19"/>
      <c r="L5" s="9">
        <f>STDEV(VLOOKUP(D5,Values!$A$2:$B$4,2,0),VLOOKUP(E5,Values!$A$2:$B$4,2,0),VLOOKUP(F5,Values!$A$2:$B$4,2,0),VLOOKUP(G5,Values!$A$2:$B$4,2,0),VLOOKUP(H5,Values!$A$2:$B$4,2,0),VLOOKUP(I5,Values!$A$2:$B$4,2,0))</f>
        <v>1.5491933384829668</v>
      </c>
      <c r="M5" s="9"/>
    </row>
    <row r="6" spans="1:13" ht="28" x14ac:dyDescent="0.15">
      <c r="A6" s="24"/>
      <c r="B6" s="8" t="s">
        <v>51</v>
      </c>
      <c r="C6" s="10" t="s">
        <v>20</v>
      </c>
      <c r="D6" s="8" t="s">
        <v>17</v>
      </c>
      <c r="E6" s="8" t="s">
        <v>88</v>
      </c>
      <c r="F6" s="8" t="s">
        <v>88</v>
      </c>
      <c r="G6" s="8" t="s">
        <v>88</v>
      </c>
      <c r="H6" s="8" t="s">
        <v>88</v>
      </c>
      <c r="I6" s="8" t="s">
        <v>88</v>
      </c>
      <c r="J6" s="9"/>
      <c r="K6" s="19"/>
      <c r="L6" s="9"/>
      <c r="M6" s="9"/>
    </row>
    <row r="7" spans="1:13" ht="28" x14ac:dyDescent="0.15">
      <c r="A7" s="25"/>
      <c r="B7" s="8" t="s">
        <v>52</v>
      </c>
      <c r="C7" s="10" t="s">
        <v>16</v>
      </c>
      <c r="D7" s="8" t="s">
        <v>15</v>
      </c>
      <c r="E7" s="8"/>
      <c r="F7" s="8"/>
      <c r="G7" s="8"/>
      <c r="H7" s="8"/>
      <c r="I7" s="8"/>
      <c r="J7" s="9"/>
      <c r="K7" s="19"/>
      <c r="L7" s="9"/>
      <c r="M7" s="9"/>
    </row>
    <row r="8" spans="1:13" ht="42" x14ac:dyDescent="0.15">
      <c r="A8" s="16" t="s">
        <v>35</v>
      </c>
      <c r="B8" s="13" t="s">
        <v>53</v>
      </c>
      <c r="C8" s="14" t="s">
        <v>13</v>
      </c>
      <c r="D8" s="13">
        <v>4</v>
      </c>
      <c r="E8" s="13">
        <v>5</v>
      </c>
      <c r="F8" s="13">
        <v>5</v>
      </c>
      <c r="G8" s="13">
        <v>3</v>
      </c>
      <c r="H8" s="13">
        <v>4</v>
      </c>
      <c r="I8" s="13">
        <v>3</v>
      </c>
      <c r="J8" s="15">
        <f t="shared" ref="J8:J29" si="0">AVERAGE(D8:I8)</f>
        <v>4</v>
      </c>
      <c r="K8" s="22">
        <f>AVERAGE(J8:J9)</f>
        <v>4.25</v>
      </c>
      <c r="L8" s="15">
        <f>STDEV(D8:I8)</f>
        <v>0.89442719099991586</v>
      </c>
      <c r="M8" s="15">
        <f>QUARTILE(E8:J8,3)-QUARTILE(E8:J8,1)</f>
        <v>1.5</v>
      </c>
    </row>
    <row r="9" spans="1:13" ht="42" x14ac:dyDescent="0.15">
      <c r="A9" s="11" t="s">
        <v>36</v>
      </c>
      <c r="B9" s="8" t="s">
        <v>54</v>
      </c>
      <c r="C9" s="10" t="s">
        <v>33</v>
      </c>
      <c r="D9" s="8">
        <v>4</v>
      </c>
      <c r="E9" s="8">
        <v>5</v>
      </c>
      <c r="F9" s="8">
        <v>5</v>
      </c>
      <c r="G9" s="8">
        <v>5</v>
      </c>
      <c r="H9" s="8">
        <v>5</v>
      </c>
      <c r="I9" s="8">
        <v>3</v>
      </c>
      <c r="J9" s="9">
        <f t="shared" si="0"/>
        <v>4.5</v>
      </c>
      <c r="K9" s="22"/>
      <c r="L9" s="9">
        <f>STDEV(D9:I9)</f>
        <v>0.83666002653407556</v>
      </c>
      <c r="M9" s="9">
        <f>QUARTILE(E9:J9,3)-QUARTILE(E9:J9,1)</f>
        <v>0.375</v>
      </c>
    </row>
    <row r="10" spans="1:13" ht="28" x14ac:dyDescent="0.15">
      <c r="A10" s="16" t="s">
        <v>37</v>
      </c>
      <c r="B10" s="13" t="s">
        <v>55</v>
      </c>
      <c r="C10" s="14" t="s">
        <v>32</v>
      </c>
      <c r="D10" s="13">
        <v>4</v>
      </c>
      <c r="E10" s="13">
        <v>5</v>
      </c>
      <c r="F10" s="13">
        <v>4</v>
      </c>
      <c r="G10" s="13">
        <v>4</v>
      </c>
      <c r="H10" s="13">
        <v>5</v>
      </c>
      <c r="I10" s="13">
        <v>4</v>
      </c>
      <c r="J10" s="15">
        <f t="shared" si="0"/>
        <v>4.333333333333333</v>
      </c>
      <c r="K10" s="20">
        <f>AVERAGE(D10:I10)</f>
        <v>4.333333333333333</v>
      </c>
      <c r="L10" s="15">
        <f>STDEV(D10:I10)</f>
        <v>0.51639777949432131</v>
      </c>
      <c r="M10" s="15">
        <f>QUARTILE(E10:J10,3)-QUARTILE(E10:J10,1)</f>
        <v>0.83333333333333304</v>
      </c>
    </row>
    <row r="11" spans="1:13" ht="42" x14ac:dyDescent="0.15">
      <c r="A11" s="23" t="s">
        <v>38</v>
      </c>
      <c r="B11" s="8" t="s">
        <v>56</v>
      </c>
      <c r="C11" s="10" t="s">
        <v>12</v>
      </c>
      <c r="D11" s="8">
        <v>5</v>
      </c>
      <c r="E11" s="8">
        <v>5</v>
      </c>
      <c r="F11" s="8">
        <v>4</v>
      </c>
      <c r="G11" s="8">
        <v>5</v>
      </c>
      <c r="H11" s="8">
        <v>5</v>
      </c>
      <c r="I11" s="8">
        <v>4</v>
      </c>
      <c r="J11" s="9">
        <f t="shared" si="0"/>
        <v>4.666666666666667</v>
      </c>
      <c r="K11" s="29">
        <f>AVERAGE(J11:J13)</f>
        <v>4.2222222222222223</v>
      </c>
      <c r="L11" s="35">
        <f>STDEV(D11:I13)</f>
        <v>0.73208449814095855</v>
      </c>
      <c r="M11" s="35">
        <f>QUARTILE(E11:J13,3)-QUARTILE(E11:J13,1)</f>
        <v>1</v>
      </c>
    </row>
    <row r="12" spans="1:13" ht="42" x14ac:dyDescent="0.15">
      <c r="A12" s="24"/>
      <c r="B12" s="8" t="s">
        <v>57</v>
      </c>
      <c r="C12" s="10" t="s">
        <v>11</v>
      </c>
      <c r="D12" s="8">
        <v>4</v>
      </c>
      <c r="E12" s="8">
        <v>5</v>
      </c>
      <c r="F12" s="8">
        <v>4</v>
      </c>
      <c r="G12" s="8">
        <v>3</v>
      </c>
      <c r="H12" s="8">
        <v>4</v>
      </c>
      <c r="I12" s="8">
        <v>3</v>
      </c>
      <c r="J12" s="9">
        <f t="shared" si="0"/>
        <v>3.8333333333333335</v>
      </c>
      <c r="K12" s="30"/>
      <c r="L12" s="36"/>
      <c r="M12" s="36"/>
    </row>
    <row r="13" spans="1:13" ht="28" x14ac:dyDescent="0.15">
      <c r="A13" s="25"/>
      <c r="B13" s="8" t="s">
        <v>58</v>
      </c>
      <c r="C13" s="10" t="s">
        <v>21</v>
      </c>
      <c r="D13" s="8">
        <v>4</v>
      </c>
      <c r="E13" s="8">
        <v>5</v>
      </c>
      <c r="F13" s="8">
        <v>4</v>
      </c>
      <c r="G13" s="8">
        <v>3</v>
      </c>
      <c r="H13" s="8">
        <v>4</v>
      </c>
      <c r="I13" s="8">
        <v>5</v>
      </c>
      <c r="J13" s="9">
        <f t="shared" si="0"/>
        <v>4.166666666666667</v>
      </c>
      <c r="K13" s="31"/>
      <c r="L13" s="37"/>
      <c r="M13" s="37"/>
    </row>
    <row r="14" spans="1:13" ht="42" x14ac:dyDescent="0.15">
      <c r="A14" s="26" t="s">
        <v>39</v>
      </c>
      <c r="B14" s="13" t="s">
        <v>59</v>
      </c>
      <c r="C14" s="14" t="s">
        <v>10</v>
      </c>
      <c r="D14" s="13">
        <v>5</v>
      </c>
      <c r="E14" s="13">
        <v>5</v>
      </c>
      <c r="F14" s="13">
        <v>5</v>
      </c>
      <c r="G14" s="13">
        <v>5</v>
      </c>
      <c r="H14" s="13">
        <v>4</v>
      </c>
      <c r="I14" s="13">
        <v>4</v>
      </c>
      <c r="J14" s="15">
        <f t="shared" si="0"/>
        <v>4.666666666666667</v>
      </c>
      <c r="K14" s="32">
        <f>AVERAGE(J14:J16)</f>
        <v>4.7777777777777777</v>
      </c>
      <c r="L14" s="38">
        <f>STDEV(D14:I16)</f>
        <v>0.42779263194649864</v>
      </c>
      <c r="M14" s="38">
        <f>QUARTILE(E14:J16,3)-QUARTILE(E14:J16,1)</f>
        <v>0.16666666666666696</v>
      </c>
    </row>
    <row r="15" spans="1:13" ht="42" x14ac:dyDescent="0.15">
      <c r="A15" s="27"/>
      <c r="B15" s="13" t="s">
        <v>60</v>
      </c>
      <c r="C15" s="14" t="s">
        <v>9</v>
      </c>
      <c r="D15" s="13">
        <v>5</v>
      </c>
      <c r="E15" s="13">
        <v>5</v>
      </c>
      <c r="F15" s="13">
        <v>5</v>
      </c>
      <c r="G15" s="13">
        <v>5</v>
      </c>
      <c r="H15" s="13">
        <v>4</v>
      </c>
      <c r="I15" s="13">
        <v>5</v>
      </c>
      <c r="J15" s="15">
        <f t="shared" si="0"/>
        <v>4.833333333333333</v>
      </c>
      <c r="K15" s="33"/>
      <c r="L15" s="39"/>
      <c r="M15" s="39"/>
    </row>
    <row r="16" spans="1:13" ht="28" x14ac:dyDescent="0.15">
      <c r="A16" s="28"/>
      <c r="B16" s="13" t="s">
        <v>61</v>
      </c>
      <c r="C16" s="14" t="s">
        <v>8</v>
      </c>
      <c r="D16" s="13">
        <v>4</v>
      </c>
      <c r="E16" s="13">
        <v>5</v>
      </c>
      <c r="F16" s="13">
        <v>5</v>
      </c>
      <c r="G16" s="13">
        <v>5</v>
      </c>
      <c r="H16" s="13">
        <v>5</v>
      </c>
      <c r="I16" s="13">
        <v>5</v>
      </c>
      <c r="J16" s="15">
        <f t="shared" si="0"/>
        <v>4.833333333333333</v>
      </c>
      <c r="K16" s="34"/>
      <c r="L16" s="40"/>
      <c r="M16" s="40"/>
    </row>
    <row r="17" spans="1:13" ht="42" x14ac:dyDescent="0.15">
      <c r="A17" s="23" t="s">
        <v>40</v>
      </c>
      <c r="B17" s="8" t="s">
        <v>62</v>
      </c>
      <c r="C17" s="10" t="s">
        <v>25</v>
      </c>
      <c r="D17" s="8">
        <v>4</v>
      </c>
      <c r="E17" s="8">
        <v>5</v>
      </c>
      <c r="F17" s="8">
        <v>5</v>
      </c>
      <c r="G17" s="8">
        <v>4</v>
      </c>
      <c r="H17" s="8">
        <v>5</v>
      </c>
      <c r="I17" s="8">
        <v>5</v>
      </c>
      <c r="J17" s="9">
        <f t="shared" si="0"/>
        <v>4.666666666666667</v>
      </c>
      <c r="K17" s="29">
        <f>AVERAGE(J17:J23)</f>
        <v>4.4761904761904763</v>
      </c>
      <c r="L17" s="35">
        <f>STDEV(D17:I23)</f>
        <v>0.74040513755103221</v>
      </c>
      <c r="M17" s="35">
        <f>QUARTILE(E17:J23,3)-QUARTILE(E17:J23,1)</f>
        <v>0.66666666666666696</v>
      </c>
    </row>
    <row r="18" spans="1:13" ht="42" x14ac:dyDescent="0.15">
      <c r="A18" s="24"/>
      <c r="B18" s="8" t="s">
        <v>63</v>
      </c>
      <c r="C18" s="10" t="s">
        <v>24</v>
      </c>
      <c r="D18" s="8">
        <v>4</v>
      </c>
      <c r="E18" s="8">
        <v>5</v>
      </c>
      <c r="F18" s="8">
        <v>4</v>
      </c>
      <c r="G18" s="8">
        <v>5</v>
      </c>
      <c r="H18" s="8">
        <v>5</v>
      </c>
      <c r="I18" s="8">
        <v>3</v>
      </c>
      <c r="J18" s="9">
        <f t="shared" si="0"/>
        <v>4.333333333333333</v>
      </c>
      <c r="K18" s="30"/>
      <c r="L18" s="36"/>
      <c r="M18" s="36"/>
    </row>
    <row r="19" spans="1:13" ht="28" x14ac:dyDescent="0.15">
      <c r="A19" s="24"/>
      <c r="B19" s="8" t="s">
        <v>64</v>
      </c>
      <c r="C19" s="10" t="s">
        <v>7</v>
      </c>
      <c r="D19" s="8">
        <v>4</v>
      </c>
      <c r="E19" s="8">
        <v>5</v>
      </c>
      <c r="F19" s="8">
        <v>5</v>
      </c>
      <c r="G19" s="8">
        <v>5</v>
      </c>
      <c r="H19" s="8">
        <v>4</v>
      </c>
      <c r="I19" s="8">
        <v>5</v>
      </c>
      <c r="J19" s="9">
        <f t="shared" si="0"/>
        <v>4.666666666666667</v>
      </c>
      <c r="K19" s="30"/>
      <c r="L19" s="36"/>
      <c r="M19" s="36"/>
    </row>
    <row r="20" spans="1:13" ht="28" x14ac:dyDescent="0.15">
      <c r="A20" s="24"/>
      <c r="B20" s="8" t="s">
        <v>65</v>
      </c>
      <c r="C20" s="10" t="s">
        <v>6</v>
      </c>
      <c r="D20" s="8">
        <v>4</v>
      </c>
      <c r="E20" s="8">
        <v>5</v>
      </c>
      <c r="F20" s="8">
        <v>4</v>
      </c>
      <c r="G20" s="8">
        <v>5</v>
      </c>
      <c r="H20" s="8">
        <v>5</v>
      </c>
      <c r="I20" s="8">
        <v>3</v>
      </c>
      <c r="J20" s="9">
        <f t="shared" si="0"/>
        <v>4.333333333333333</v>
      </c>
      <c r="K20" s="30"/>
      <c r="L20" s="36"/>
      <c r="M20" s="36"/>
    </row>
    <row r="21" spans="1:13" ht="70" x14ac:dyDescent="0.15">
      <c r="A21" s="24"/>
      <c r="B21" s="8" t="s">
        <v>66</v>
      </c>
      <c r="C21" s="10" t="s">
        <v>5</v>
      </c>
      <c r="D21" s="8">
        <v>4</v>
      </c>
      <c r="E21" s="8">
        <v>5</v>
      </c>
      <c r="F21" s="8">
        <v>5</v>
      </c>
      <c r="G21" s="8">
        <v>4</v>
      </c>
      <c r="H21" s="8">
        <v>5</v>
      </c>
      <c r="I21" s="8">
        <v>3</v>
      </c>
      <c r="J21" s="9">
        <f t="shared" si="0"/>
        <v>4.333333333333333</v>
      </c>
      <c r="K21" s="30"/>
      <c r="L21" s="36"/>
      <c r="M21" s="36"/>
    </row>
    <row r="22" spans="1:13" ht="42" x14ac:dyDescent="0.15">
      <c r="A22" s="24"/>
      <c r="B22" s="8" t="s">
        <v>67</v>
      </c>
      <c r="C22" s="10" t="s">
        <v>23</v>
      </c>
      <c r="D22" s="8">
        <v>3</v>
      </c>
      <c r="E22" s="8">
        <v>5</v>
      </c>
      <c r="F22" s="8">
        <v>5</v>
      </c>
      <c r="G22" s="8">
        <v>3</v>
      </c>
      <c r="H22" s="8">
        <v>5</v>
      </c>
      <c r="I22" s="8">
        <v>5</v>
      </c>
      <c r="J22" s="9">
        <f t="shared" si="0"/>
        <v>4.333333333333333</v>
      </c>
      <c r="K22" s="30"/>
      <c r="L22" s="36"/>
      <c r="M22" s="36"/>
    </row>
    <row r="23" spans="1:13" ht="28" x14ac:dyDescent="0.15">
      <c r="A23" s="25"/>
      <c r="B23" s="8" t="s">
        <v>68</v>
      </c>
      <c r="C23" s="10" t="s">
        <v>22</v>
      </c>
      <c r="D23" s="8">
        <v>3</v>
      </c>
      <c r="E23" s="8">
        <v>5</v>
      </c>
      <c r="F23" s="8">
        <v>5</v>
      </c>
      <c r="G23" s="8">
        <v>5</v>
      </c>
      <c r="H23" s="8">
        <v>5</v>
      </c>
      <c r="I23" s="8">
        <v>5</v>
      </c>
      <c r="J23" s="9">
        <f t="shared" si="0"/>
        <v>4.666666666666667</v>
      </c>
      <c r="K23" s="31"/>
      <c r="L23" s="37"/>
      <c r="M23" s="37"/>
    </row>
    <row r="24" spans="1:13" ht="56" x14ac:dyDescent="0.15">
      <c r="A24" s="17" t="s">
        <v>85</v>
      </c>
      <c r="B24" s="13" t="s">
        <v>69</v>
      </c>
      <c r="C24" s="14" t="s">
        <v>4</v>
      </c>
      <c r="D24" s="13">
        <v>5</v>
      </c>
      <c r="E24" s="13">
        <v>3</v>
      </c>
      <c r="F24" s="13">
        <v>3</v>
      </c>
      <c r="G24" s="13">
        <v>5</v>
      </c>
      <c r="H24" s="13">
        <v>4</v>
      </c>
      <c r="I24" s="13">
        <v>4</v>
      </c>
      <c r="J24" s="15">
        <f t="shared" si="0"/>
        <v>4</v>
      </c>
      <c r="K24" s="20">
        <f>AVERAGE(D24:I24)</f>
        <v>4</v>
      </c>
      <c r="L24" s="15">
        <f>STDEV(D24:I24)</f>
        <v>0.89442719099991586</v>
      </c>
      <c r="M24" s="15">
        <f>QUARTILE(E24:J24,3)-QUARTILE(E24:J24,1)</f>
        <v>0.75</v>
      </c>
    </row>
    <row r="25" spans="1:13" ht="28" x14ac:dyDescent="0.15">
      <c r="A25" s="23" t="s">
        <v>41</v>
      </c>
      <c r="B25" s="8" t="s">
        <v>70</v>
      </c>
      <c r="C25" s="10" t="s">
        <v>3</v>
      </c>
      <c r="D25" s="8">
        <v>4</v>
      </c>
      <c r="E25" s="8">
        <v>5</v>
      </c>
      <c r="F25" s="8">
        <v>4</v>
      </c>
      <c r="G25" s="8">
        <v>5</v>
      </c>
      <c r="H25" s="8">
        <v>5</v>
      </c>
      <c r="I25" s="8">
        <v>3</v>
      </c>
      <c r="J25" s="9">
        <f t="shared" si="0"/>
        <v>4.333333333333333</v>
      </c>
      <c r="K25" s="29">
        <f>AVERAGE(J25:J29)</f>
        <v>4.5333333333333332</v>
      </c>
      <c r="L25" s="35">
        <f>STDEV(D25:I29)</f>
        <v>0.73029674334022221</v>
      </c>
      <c r="M25" s="35">
        <f>QUARTILE(E25:J29,3)-QUARTILE(E25:J29,1)</f>
        <v>1</v>
      </c>
    </row>
    <row r="26" spans="1:13" ht="28" x14ac:dyDescent="0.15">
      <c r="A26" s="24"/>
      <c r="B26" s="8" t="s">
        <v>71</v>
      </c>
      <c r="C26" s="10" t="s">
        <v>2</v>
      </c>
      <c r="D26" s="8">
        <v>4</v>
      </c>
      <c r="E26" s="8">
        <v>5</v>
      </c>
      <c r="F26" s="8">
        <v>4</v>
      </c>
      <c r="G26" s="8">
        <v>4</v>
      </c>
      <c r="H26" s="8">
        <v>5</v>
      </c>
      <c r="I26" s="8">
        <v>4</v>
      </c>
      <c r="J26" s="9">
        <f t="shared" si="0"/>
        <v>4.333333333333333</v>
      </c>
      <c r="K26" s="30"/>
      <c r="L26" s="36"/>
      <c r="M26" s="36"/>
    </row>
    <row r="27" spans="1:13" ht="28" x14ac:dyDescent="0.15">
      <c r="A27" s="24"/>
      <c r="B27" s="8" t="s">
        <v>72</v>
      </c>
      <c r="C27" s="10" t="s">
        <v>1</v>
      </c>
      <c r="D27" s="8">
        <v>5</v>
      </c>
      <c r="E27" s="8">
        <v>5</v>
      </c>
      <c r="F27" s="8">
        <v>5</v>
      </c>
      <c r="G27" s="8">
        <v>5</v>
      </c>
      <c r="H27" s="8">
        <v>5</v>
      </c>
      <c r="I27" s="8">
        <v>4</v>
      </c>
      <c r="J27" s="9">
        <f t="shared" si="0"/>
        <v>4.833333333333333</v>
      </c>
      <c r="K27" s="30"/>
      <c r="L27" s="36"/>
      <c r="M27" s="36"/>
    </row>
    <row r="28" spans="1:13" ht="28" x14ac:dyDescent="0.15">
      <c r="A28" s="24"/>
      <c r="B28" s="8" t="s">
        <v>73</v>
      </c>
      <c r="C28" s="10" t="s">
        <v>0</v>
      </c>
      <c r="D28" s="8">
        <v>5</v>
      </c>
      <c r="E28" s="8">
        <v>5</v>
      </c>
      <c r="F28" s="8">
        <v>5</v>
      </c>
      <c r="G28" s="8">
        <v>5</v>
      </c>
      <c r="H28" s="8">
        <v>5</v>
      </c>
      <c r="I28" s="8">
        <v>5</v>
      </c>
      <c r="J28" s="9">
        <f t="shared" si="0"/>
        <v>5</v>
      </c>
      <c r="K28" s="30"/>
      <c r="L28" s="36"/>
      <c r="M28" s="36"/>
    </row>
    <row r="29" spans="1:13" ht="28" x14ac:dyDescent="0.15">
      <c r="A29" s="25"/>
      <c r="B29" s="8" t="s">
        <v>74</v>
      </c>
      <c r="C29" s="10" t="s">
        <v>84</v>
      </c>
      <c r="D29" s="8">
        <v>5</v>
      </c>
      <c r="E29" s="8">
        <v>5</v>
      </c>
      <c r="F29" s="8">
        <v>5</v>
      </c>
      <c r="G29" s="8">
        <v>4</v>
      </c>
      <c r="H29" s="8">
        <v>4</v>
      </c>
      <c r="I29" s="8">
        <v>2</v>
      </c>
      <c r="J29" s="9">
        <f t="shared" si="0"/>
        <v>4.166666666666667</v>
      </c>
      <c r="K29" s="31"/>
      <c r="L29" s="37"/>
      <c r="M29" s="37"/>
    </row>
  </sheetData>
  <autoFilter ref="A1:M29" xr:uid="{00000000-0001-0000-0000-000000000000}"/>
  <mergeCells count="18">
    <mergeCell ref="L11:L13"/>
    <mergeCell ref="M11:M13"/>
    <mergeCell ref="L25:L29"/>
    <mergeCell ref="M25:M29"/>
    <mergeCell ref="L17:L23"/>
    <mergeCell ref="M17:M23"/>
    <mergeCell ref="L14:L16"/>
    <mergeCell ref="M14:M16"/>
    <mergeCell ref="A25:A29"/>
    <mergeCell ref="K11:K13"/>
    <mergeCell ref="K14:K16"/>
    <mergeCell ref="K17:K23"/>
    <mergeCell ref="K25:K29"/>
    <mergeCell ref="K8:K9"/>
    <mergeCell ref="A2:A7"/>
    <mergeCell ref="A11:A13"/>
    <mergeCell ref="A14:A16"/>
    <mergeCell ref="A17:A23"/>
  </mergeCells>
  <phoneticPr fontId="3" type="noConversion"/>
  <conditionalFormatting sqref="D8:I29">
    <cfRule type="cellIs" dxfId="0" priority="1" operator="between">
      <formula>2</formula>
      <formula>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D60B-4971-BC4D-B016-20FB1FFF6764}">
  <dimension ref="A1:E4"/>
  <sheetViews>
    <sheetView workbookViewId="0">
      <selection activeCell="B10" sqref="B10"/>
    </sheetView>
  </sheetViews>
  <sheetFormatPr baseColWidth="10" defaultRowHeight="13" x14ac:dyDescent="0.15"/>
  <cols>
    <col min="1" max="1" width="25.33203125" style="1" bestFit="1" customWidth="1"/>
    <col min="2" max="2" width="10.83203125" style="1"/>
  </cols>
  <sheetData>
    <row r="1" spans="1:5" s="6" customFormat="1" x14ac:dyDescent="0.15">
      <c r="A1" s="5" t="s">
        <v>82</v>
      </c>
      <c r="B1" s="5" t="s">
        <v>83</v>
      </c>
    </row>
    <row r="2" spans="1:5" x14ac:dyDescent="0.15">
      <c r="A2" s="7" t="s">
        <v>19</v>
      </c>
      <c r="B2" s="1">
        <f>(0+2)/2</f>
        <v>1</v>
      </c>
      <c r="C2" s="7"/>
      <c r="D2" s="7"/>
      <c r="E2" s="7"/>
    </row>
    <row r="3" spans="1:5" x14ac:dyDescent="0.15">
      <c r="A3" s="7" t="s">
        <v>27</v>
      </c>
      <c r="B3" s="1">
        <f>(3+5)/2</f>
        <v>4</v>
      </c>
    </row>
    <row r="4" spans="1:5" x14ac:dyDescent="0.15">
      <c r="A4" s="7" t="s">
        <v>26</v>
      </c>
      <c r="B4" s="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Risposte del modulo 1</vt:lpstr>
      <vt:lpstr>Values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Alberto Petrucci</cp:lastModifiedBy>
  <dcterms:created xsi:type="dcterms:W3CDTF">2026-01-15T15:24:38Z</dcterms:created>
  <dcterms:modified xsi:type="dcterms:W3CDTF">2026-09-11T17:56:31Z</dcterms:modified>
  <cp:category/>
</cp:coreProperties>
</file>