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albertopetrucci/Documents/github/aerosafe/downloads/"/>
    </mc:Choice>
  </mc:AlternateContent>
  <xr:revisionPtr revIDLastSave="0" documentId="13_ncr:1_{ADF9FDCA-466C-2A49-A98E-D7063255C88B}" xr6:coauthVersionLast="47" xr6:coauthVersionMax="47" xr10:uidLastSave="{00000000-0000-0000-0000-000000000000}"/>
  <bookViews>
    <workbookView xWindow="38400" yWindow="500" windowWidth="38400" windowHeight="21100" xr2:uid="{00000000-000D-0000-FFFF-FFFF00000000}"/>
  </bookViews>
  <sheets>
    <sheet name="AeroSafe Questionnaire Answers" sheetId="1" r:id="rId1"/>
    <sheet name="Summary Table" sheetId="2" r:id="rId2"/>
    <sheet name="Values" sheetId="3" r:id="rId3"/>
  </sheets>
  <externalReferences>
    <externalReference r:id="rId4"/>
  </externalReferences>
  <definedNames>
    <definedName name="_xlnm._FilterDatabase" localSheetId="1" hidden="1">'Summary Table'!$A$1:$M$1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29" i="2" l="1"/>
  <c r="J28" i="2"/>
  <c r="J27" i="2"/>
  <c r="J26" i="2"/>
  <c r="L25" i="2"/>
  <c r="J25" i="2"/>
  <c r="M25" i="2" s="1"/>
  <c r="L24" i="2"/>
  <c r="K24" i="2"/>
  <c r="J24" i="2"/>
  <c r="M24" i="2" s="1"/>
  <c r="J23" i="2"/>
  <c r="J22" i="2"/>
  <c r="J21" i="2"/>
  <c r="J20" i="2"/>
  <c r="J19" i="2"/>
  <c r="J18" i="2"/>
  <c r="L17" i="2"/>
  <c r="J17" i="2"/>
  <c r="M17" i="2" s="1"/>
  <c r="J16" i="2"/>
  <c r="M14" i="2" s="1"/>
  <c r="J15" i="2"/>
  <c r="L14" i="2"/>
  <c r="J14" i="2"/>
  <c r="K14" i="2" s="1"/>
  <c r="J13" i="2"/>
  <c r="J12" i="2"/>
  <c r="L11" i="2"/>
  <c r="J11" i="2"/>
  <c r="M11" i="2" s="1"/>
  <c r="M10" i="2"/>
  <c r="L10" i="2"/>
  <c r="K10" i="2"/>
  <c r="J10" i="2"/>
  <c r="L9" i="2"/>
  <c r="J9" i="2"/>
  <c r="M9" i="2" s="1"/>
  <c r="L8" i="2"/>
  <c r="J8" i="2"/>
  <c r="M8" i="2" s="1"/>
  <c r="L5" i="2"/>
  <c r="J5" i="2"/>
  <c r="L4" i="2"/>
  <c r="J4" i="2"/>
  <c r="L3" i="2"/>
  <c r="J3" i="2"/>
  <c r="B3" i="3"/>
  <c r="B2" i="3"/>
  <c r="K11" i="2" l="1"/>
  <c r="K17" i="2"/>
  <c r="K25" i="2"/>
  <c r="K8" i="2"/>
</calcChain>
</file>

<file path=xl/sharedStrings.xml><?xml version="1.0" encoding="utf-8"?>
<sst xmlns="http://schemas.openxmlformats.org/spreadsheetml/2006/main" count="249" uniqueCount="157">
  <si>
    <t>Informazioni cronologiche</t>
  </si>
  <si>
    <t>Please indicate your professional background (select one or specify)</t>
  </si>
  <si>
    <t>Years of experience in your field</t>
  </si>
  <si>
    <t>Experience with ECSS standards</t>
  </si>
  <si>
    <t>Experience with AI/ML systems</t>
  </si>
  <si>
    <t>Please indicate the name of the organization or company you are currently employed by</t>
  </si>
  <si>
    <t>To what extent do you agree that the following three phases (TRR, CDR, VVR) are sufficient for software qualification and follow the ECSS standards?</t>
  </si>
  <si>
    <t>Are there any important missing elements in the proposed review phases? If so, please specify.</t>
  </si>
  <si>
    <t>Are there any important missing elements in the proposed review phases? If so, please specify. 2</t>
  </si>
  <si>
    <t>Product Assurance/Quality</t>
  </si>
  <si>
    <t>3–5 years (Intermediate)</t>
  </si>
  <si>
    <t>Other</t>
  </si>
  <si>
    <t>Antwerp Space</t>
  </si>
  <si>
    <t>QR not present</t>
  </si>
  <si>
    <t>I think data security is also applicable to the Category C</t>
  </si>
  <si>
    <t>Redundacy applicable to other criticalities is missing</t>
  </si>
  <si>
    <t>Software Product Assurance/Quality</t>
  </si>
  <si>
    <t>16+ years (Expert)</t>
  </si>
  <si>
    <t>0–2 years (Junior / Early career)</t>
  </si>
  <si>
    <t>It is not clear which level is concerned for these reviews : system, subsystem, AI/ML constituent?</t>
  </si>
  <si>
    <t>It is not clear which traceability is concerned, between which type of items: requirements, models, components, functions, data source, data operations, tests, … ?</t>
  </si>
  <si>
    <t>I do not understand why assurance of data quality, security &amp; privacy should not be mandatory for the system with criticality C? It is not an option!</t>
  </si>
  <si>
    <t>Model explainability and bias/fairness audits should be required for criticality B as well.</t>
  </si>
  <si>
    <t>Adversarial robustness testing and stress testing should be mandatory for B-critical systems as well.</t>
  </si>
  <si>
    <t>Model obsolescence is a risk for all systems, so an update plan is important whatever its criticality.</t>
  </si>
  <si>
    <t>Model verification and system verification activities (tests, analyses, simulations, inspections, ...) are necessary to ensure that integration is correct and that all components of a system, including models, data, software, and hardware, work together consistently.</t>
  </si>
  <si>
    <t>The 3 last activities should not be mentioned in the IMVV section because it is not directly linked to formal independent checks: Pre-deployment verification (including testing for adversarial and unintended behavior), Post-deployment monitoring to detect drift and failures, Regulatory conformance checks.
Regulatory conformance checks should be mandatory for all systems, whatever its criticality, where the regulatory requirements are applicable.
General: in this questionnaire, the term “is sufficient to” should be avoided and replaced by “is necessary to“ or “contributes to”.</t>
  </si>
  <si>
    <t xml:space="preserve">I would prefer to distinguish software reviews from HW or system reviews especially when we talk about CDR I would prefer to go deep. NOTE        The term SW­CDR can be used for clarity to denote CDRs that solely involve software products.
The results relevant to the validation against the TS are checked at the CDR
Reference ECSS-E-ST-40C Rev.1 (30 April 2025) 
Section 5.3.4.3        Critical design review
a.        After completion of the design of software items, coding and testing, integration and validation with respect to the technical specification, a critical design review (CDR) shall take place.
But it is also true that you introduced the VVR (Verification and Validation Review) with the objective to ensure the validation, maybe better clarification of the objective of both reviews could help.
Furthermore, I recommend maximum attention when talking about category A. 
e.g. the ECSS ML Handbook (ECSS-E-HB-40-02A 15 November 2024 ) can be used for AI software development in  except Cat A criticality. 
Today ML application in Cat A space application is discouraged but, for sure field can be explored.
Cat A severity is assigned to sw if its fail to catastrophic consequences :  loss of life, permanent injury , loss of system , loss of a interfacing manned flight system, loss of lunch site facilities, sever detrimental environmental effects ( ECSS-Q-ST-40C Rev.1 - SAFETY)
Maybe, for CAT A, Safety cage Architecture can be introduced as suggested by ECSS-E-HB-40-02A 15 November 2024.
</t>
  </si>
  <si>
    <t xml:space="preserve">It could be useful to be more clear on mining of full traceability: from where to where being traceability </t>
  </si>
  <si>
    <t xml:space="preserve">Data security is linked to sensitivity aspects and in general it is not linked to SW criticality assignment.
I would recommend to check the new issues SW ECSS (ECSS-Q-ST-80C Rev.2 30 April 2025 and ECSS-E-ST-40C Rev.1 30 April 2025) that introduce specifics activities and verification to ensure security. 
e.g. of impact on dependability analisys introduced in new ECSS
6.2.10	Handling of security sensitive software
b.	The consequences for security of the malfunction of higher criticality components, and the consequences for safety and dependability of the malfunction of higher sensitivity components shall be analysed and any conflict resolved.
</t>
  </si>
  <si>
    <t xml:space="preserve">I would be more on extending verifications in Cat B (bias/fairness audits)
</t>
  </si>
  <si>
    <t xml:space="preserve">Again, to be noted that today ML application in Cat A space application is discouraged but, for sure field can be explored.
I would be more conservative when we talk on cat B ensuring robustness and stress test
</t>
  </si>
  <si>
    <t>Safety shall be ensured also in Cat B.
It is crucial to distinguish Cat B with safety implication from Cat B having only dependability effect without safety implication. 
In case of Sw cat B with safety implication ( major safety impacts) ,  all mitigation mechanisms shall be put in place. I suggest to extend redundancy and fallback mechanisms implemented for safety for Cat B  if analysis demonstrate safety implications.</t>
  </si>
  <si>
    <t>traceability should be better detailed</t>
  </si>
  <si>
    <t xml:space="preserve">Safety shall be ensured also in Cat B having safety implication ( major safety implication) </t>
  </si>
  <si>
    <t>It would be preferable to have a review or a key point session upfront where the foundation of the baseline requirements and specifications is established before directly entering the critical phase where the requirements need to be frozen.This would align well with the objectives of the System Requirements Review  and the Software Preliminary Design Review</t>
  </si>
  <si>
    <t>Data Drift Monitoring: How will you detect and handle changes in data distribution over time?</t>
  </si>
  <si>
    <t xml:space="preserve">Differences between GPU-based development environments and real-target hardware (e.g., embedded systems) can introduce risks? </t>
  </si>
  <si>
    <t xml:space="preserve">traceability must extend to runtime decisions and model updates, not just static design-time artifacts </t>
  </si>
  <si>
    <t>Acceptance Review</t>
  </si>
  <si>
    <t>Software/AI Embedded Developer</t>
  </si>
  <si>
    <t>FORMAL REVIEW</t>
  </si>
  <si>
    <t>CONFIGURATION MANAGEMENT</t>
  </si>
  <si>
    <t>DATA MANAGEMENT</t>
  </si>
  <si>
    <t>MODEL LEARNING</t>
  </si>
  <si>
    <t>MODEL VERIFICATION</t>
  </si>
  <si>
    <t>MODEL DEPLOYMENT</t>
  </si>
  <si>
    <t>IMVV</t>
  </si>
  <si>
    <t>SAFETY REQUIREMENT ASSURANCE INTEGRATION AND TRACEABILITY</t>
  </si>
  <si>
    <r>
      <rPr>
        <i/>
        <sz val="10"/>
        <color theme="0"/>
        <rFont val="Arial"/>
        <family val="2"/>
        <scheme val="minor"/>
      </rPr>
      <t>If you selected “Other”, please specify the organization or company you work for:</t>
    </r>
    <r>
      <rPr>
        <sz val="10"/>
        <color theme="0"/>
        <rFont val="Arial"/>
        <family val="2"/>
        <scheme val="minor"/>
      </rPr>
      <t xml:space="preserve"> </t>
    </r>
  </si>
  <si>
    <r>
      <t xml:space="preserve">To what extent do you agree that the proposed </t>
    </r>
    <r>
      <rPr>
        <b/>
        <sz val="10"/>
        <color theme="0"/>
        <rFont val="Arial"/>
        <family val="2"/>
        <scheme val="minor"/>
      </rPr>
      <t>configuration management phases</t>
    </r>
    <r>
      <rPr>
        <sz val="10"/>
        <color theme="0"/>
        <rFont val="Arial"/>
        <family val="2"/>
        <scheme val="minor"/>
      </rPr>
      <t xml:space="preserve"> (version control, change management, baseline management, traceability) are sufficient and follow the ECSS standard?</t>
    </r>
  </si>
  <si>
    <r>
      <t xml:space="preserve">To what extent do you agree that the </t>
    </r>
    <r>
      <rPr>
        <b/>
        <sz val="10"/>
        <color theme="0"/>
        <rFont val="Arial"/>
        <family val="2"/>
        <scheme val="minor"/>
      </rPr>
      <t>dataset quality verification process</t>
    </r>
    <r>
      <rPr>
        <sz val="10"/>
        <color theme="0"/>
        <rFont val="Arial"/>
        <family val="2"/>
        <scheme val="minor"/>
      </rPr>
      <t xml:space="preserve"> is sufficient for AI applications?</t>
    </r>
  </si>
  <si>
    <r>
      <t xml:space="preserve">Do you have additional considerations for </t>
    </r>
    <r>
      <rPr>
        <b/>
        <sz val="10"/>
        <color theme="0"/>
        <rFont val="Arial"/>
        <family val="2"/>
        <scheme val="minor"/>
      </rPr>
      <t>bias mitigation, security, and privacy</t>
    </r>
    <r>
      <rPr>
        <sz val="10"/>
        <color theme="0"/>
        <rFont val="Arial"/>
        <family val="2"/>
        <scheme val="minor"/>
      </rPr>
      <t xml:space="preserve"> in satellite applications? If so, please specify.</t>
    </r>
  </si>
  <si>
    <r>
      <t xml:space="preserve">To what extent do you agree that the proposed </t>
    </r>
    <r>
      <rPr>
        <b/>
        <sz val="10"/>
        <color theme="0"/>
        <rFont val="Arial"/>
        <family val="2"/>
        <scheme val="minor"/>
      </rPr>
      <t>methodologies (e.g., data leakage, data mismatch, drift analysis)</t>
    </r>
    <r>
      <rPr>
        <sz val="10"/>
        <color theme="0"/>
        <rFont val="Arial"/>
        <family val="2"/>
        <scheme val="minor"/>
      </rPr>
      <t xml:space="preserve"> are necessary to ensure model quality during the learning phase, considering criticality levels?</t>
    </r>
  </si>
  <si>
    <r>
      <t xml:space="preserve">To what extent do you agree that </t>
    </r>
    <r>
      <rPr>
        <b/>
        <sz val="10"/>
        <color theme="0"/>
        <rFont val="Arial"/>
        <family val="2"/>
        <scheme val="minor"/>
      </rPr>
      <t xml:space="preserve">model performance validation </t>
    </r>
    <r>
      <rPr>
        <sz val="10"/>
        <color theme="0"/>
        <rFont val="Arial"/>
        <family val="2"/>
        <scheme val="minor"/>
      </rPr>
      <t>is sufficient to ensure model quality during the learning phase, considering criticality levels?</t>
    </r>
  </si>
  <si>
    <r>
      <t xml:space="preserve">To what extent do you agree that </t>
    </r>
    <r>
      <rPr>
        <b/>
        <sz val="10"/>
        <color theme="0"/>
        <rFont val="Arial"/>
        <family val="2"/>
        <scheme val="minor"/>
      </rPr>
      <t>model explainability and bias/fairness audits</t>
    </r>
    <r>
      <rPr>
        <sz val="10"/>
        <color theme="0"/>
        <rFont val="Arial"/>
        <family val="2"/>
        <scheme val="minor"/>
      </rPr>
      <t xml:space="preserve"> help to qualify a model with the highest criticality level?</t>
    </r>
  </si>
  <si>
    <r>
      <t xml:space="preserve">Are there any </t>
    </r>
    <r>
      <rPr>
        <b/>
        <sz val="10"/>
        <color theme="0"/>
        <rFont val="Arial"/>
        <family val="2"/>
        <scheme val="minor"/>
      </rPr>
      <t>important missing elements</t>
    </r>
    <r>
      <rPr>
        <sz val="10"/>
        <color theme="0"/>
        <rFont val="Arial"/>
        <family val="2"/>
        <scheme val="minor"/>
      </rPr>
      <t xml:space="preserve"> in the proposed review phases? If so, please specify. 3</t>
    </r>
  </si>
  <si>
    <r>
      <t xml:space="preserve">To what extent do you agree that the proposed </t>
    </r>
    <r>
      <rPr>
        <b/>
        <sz val="10"/>
        <color theme="0"/>
        <rFont val="Arial"/>
        <family val="2"/>
        <scheme val="minor"/>
      </rPr>
      <t>verification methodologies (e.g., formal methods, robustness testing)</t>
    </r>
    <r>
      <rPr>
        <sz val="10"/>
        <color theme="0"/>
        <rFont val="Arial"/>
        <family val="2"/>
        <scheme val="minor"/>
      </rPr>
      <t xml:space="preserve"> are necessary to ensure model quality during the verification phase, considering criticality levels?</t>
    </r>
  </si>
  <si>
    <r>
      <t xml:space="preserve">To what extent do you agree that generating </t>
    </r>
    <r>
      <rPr>
        <b/>
        <sz val="10"/>
        <color theme="0"/>
        <rFont val="Arial"/>
        <family val="2"/>
        <scheme val="minor"/>
      </rPr>
      <t>test cases from the design domain</t>
    </r>
    <r>
      <rPr>
        <sz val="10"/>
        <color theme="0"/>
        <rFont val="Arial"/>
        <family val="2"/>
        <scheme val="minor"/>
      </rPr>
      <t xml:space="preserve"> and that </t>
    </r>
    <r>
      <rPr>
        <b/>
        <sz val="10"/>
        <color theme="0"/>
        <rFont val="Arial"/>
        <family val="2"/>
        <scheme val="minor"/>
      </rPr>
      <t>simulation-based testing</t>
    </r>
    <r>
      <rPr>
        <sz val="10"/>
        <color theme="0"/>
        <rFont val="Arial"/>
        <family val="2"/>
        <scheme val="minor"/>
      </rPr>
      <t xml:space="preserve"> are necessary to ensure model quality during the verification phase, considering criticality levels?</t>
    </r>
  </si>
  <si>
    <r>
      <t xml:space="preserve">To what extent do you agree that </t>
    </r>
    <r>
      <rPr>
        <b/>
        <sz val="10"/>
        <color theme="0"/>
        <rFont val="Arial"/>
        <family val="2"/>
        <scheme val="minor"/>
      </rPr>
      <t>adversarial robustness testing and stress testing</t>
    </r>
    <r>
      <rPr>
        <sz val="10"/>
        <color theme="0"/>
        <rFont val="Arial"/>
        <family val="2"/>
        <scheme val="minor"/>
      </rPr>
      <t xml:space="preserve"> should be mandatory for </t>
    </r>
    <r>
      <rPr>
        <b/>
        <sz val="10"/>
        <color theme="0"/>
        <rFont val="Arial"/>
        <family val="2"/>
        <scheme val="minor"/>
      </rPr>
      <t>A-critical systems</t>
    </r>
    <r>
      <rPr>
        <sz val="10"/>
        <color theme="0"/>
        <rFont val="Arial"/>
        <family val="2"/>
        <scheme val="minor"/>
      </rPr>
      <t>?</t>
    </r>
  </si>
  <si>
    <r>
      <t xml:space="preserve">Are there any </t>
    </r>
    <r>
      <rPr>
        <b/>
        <sz val="10"/>
        <color theme="0"/>
        <rFont val="Arial"/>
        <family val="2"/>
        <scheme val="minor"/>
      </rPr>
      <t>important missing elements</t>
    </r>
    <r>
      <rPr>
        <sz val="10"/>
        <color theme="0"/>
        <rFont val="Arial"/>
        <family val="2"/>
        <scheme val="minor"/>
      </rPr>
      <t xml:space="preserve"> in the proposed review phases? If so, please specify. 4</t>
    </r>
  </si>
  <si>
    <r>
      <t xml:space="preserve">To what extent do you agree that </t>
    </r>
    <r>
      <rPr>
        <b/>
        <sz val="10"/>
        <color theme="0"/>
        <rFont val="Arial"/>
        <family val="2"/>
        <scheme val="minor"/>
      </rPr>
      <t xml:space="preserve">embeddability </t>
    </r>
    <r>
      <rPr>
        <sz val="10"/>
        <color theme="0"/>
        <rFont val="Arial"/>
        <family val="2"/>
        <scheme val="minor"/>
      </rPr>
      <t>is a critical factor for model selection and design, especially for deployment on embedded hardware?</t>
    </r>
  </si>
  <si>
    <r>
      <t xml:space="preserve">To what extent do you agree that using </t>
    </r>
    <r>
      <rPr>
        <b/>
        <sz val="10"/>
        <color theme="0"/>
        <rFont val="Arial"/>
        <family val="2"/>
        <scheme val="minor"/>
      </rPr>
      <t>integrated development environments</t>
    </r>
    <r>
      <rPr>
        <sz val="10"/>
        <color theme="0"/>
        <rFont val="Arial"/>
        <family val="2"/>
        <scheme val="minor"/>
      </rPr>
      <t xml:space="preserve"> (from GPU-based development/testing to real-target deployment) impacts qualification?</t>
    </r>
  </si>
  <si>
    <r>
      <t xml:space="preserve">To what extent do you agree that </t>
    </r>
    <r>
      <rPr>
        <b/>
        <sz val="10"/>
        <color theme="0"/>
        <rFont val="Arial"/>
        <family val="2"/>
        <scheme val="minor"/>
      </rPr>
      <t>pre and post deployment validation and monitoring</t>
    </r>
    <r>
      <rPr>
        <sz val="10"/>
        <color theme="0"/>
        <rFont val="Arial"/>
        <family val="2"/>
        <scheme val="minor"/>
      </rPr>
      <t xml:space="preserve"> is important to qualify critical models?</t>
    </r>
  </si>
  <si>
    <r>
      <t xml:space="preserve">To what extent do you agree that </t>
    </r>
    <r>
      <rPr>
        <b/>
        <sz val="10"/>
        <color theme="0"/>
        <rFont val="Arial"/>
        <family val="2"/>
        <scheme val="minor"/>
      </rPr>
      <t>model obsolescence</t>
    </r>
    <r>
      <rPr>
        <sz val="10"/>
        <color theme="0"/>
        <rFont val="Arial"/>
        <family val="2"/>
        <scheme val="minor"/>
      </rPr>
      <t xml:space="preserve"> is a risk, and that defining an </t>
    </r>
    <r>
      <rPr>
        <b/>
        <sz val="10"/>
        <color theme="0"/>
        <rFont val="Arial"/>
        <family val="2"/>
        <scheme val="minor"/>
      </rPr>
      <t xml:space="preserve">update plan </t>
    </r>
    <r>
      <rPr>
        <sz val="10"/>
        <color theme="0"/>
        <rFont val="Arial"/>
        <family val="2"/>
        <scheme val="minor"/>
      </rPr>
      <t>is important?</t>
    </r>
  </si>
  <si>
    <r>
      <t xml:space="preserve">For critical applications, to what extent do you agree that </t>
    </r>
    <r>
      <rPr>
        <b/>
        <sz val="10"/>
        <color theme="0"/>
        <rFont val="Arial"/>
        <family val="2"/>
        <scheme val="minor"/>
      </rPr>
      <t>redundancy</t>
    </r>
    <r>
      <rPr>
        <sz val="10"/>
        <color theme="0"/>
        <rFont val="Arial"/>
        <family val="2"/>
        <scheme val="minor"/>
      </rPr>
      <t xml:space="preserve"> improves robustness? What do you consider the right trade-off between robustness and resource usage?</t>
    </r>
  </si>
  <si>
    <r>
      <t xml:space="preserve">To what extent do you agree that </t>
    </r>
    <r>
      <rPr>
        <b/>
        <sz val="10"/>
        <color theme="0"/>
        <rFont val="Arial"/>
        <family val="2"/>
        <scheme val="minor"/>
      </rPr>
      <t>real-time model monitoring</t>
    </r>
    <r>
      <rPr>
        <sz val="10"/>
        <color theme="0"/>
        <rFont val="Arial"/>
        <family val="2"/>
        <scheme val="minor"/>
      </rPr>
      <t xml:space="preserve"> (e.g., for model drift or failures) should be mandatory for </t>
    </r>
    <r>
      <rPr>
        <b/>
        <sz val="10"/>
        <color theme="0"/>
        <rFont val="Arial"/>
        <family val="2"/>
        <scheme val="minor"/>
      </rPr>
      <t>A-critical systems</t>
    </r>
    <r>
      <rPr>
        <sz val="10"/>
        <color theme="0"/>
        <rFont val="Arial"/>
        <family val="2"/>
        <scheme val="minor"/>
      </rPr>
      <t>?</t>
    </r>
  </si>
  <si>
    <r>
      <t xml:space="preserve">Are there any </t>
    </r>
    <r>
      <rPr>
        <b/>
        <sz val="10"/>
        <color theme="0"/>
        <rFont val="Arial"/>
        <family val="2"/>
        <scheme val="minor"/>
      </rPr>
      <t>important missing elements</t>
    </r>
    <r>
      <rPr>
        <sz val="10"/>
        <color theme="0"/>
        <rFont val="Arial"/>
        <family val="2"/>
        <scheme val="minor"/>
      </rPr>
      <t xml:space="preserve"> in the proposed review phases? If so, please specify. 5</t>
    </r>
  </si>
  <si>
    <r>
      <t xml:space="preserve">To what extent do you agree that the proposed </t>
    </r>
    <r>
      <rPr>
        <b/>
        <sz val="10"/>
        <color theme="0"/>
        <rFont val="Arial"/>
        <family val="2"/>
        <scheme val="minor"/>
      </rPr>
      <t>integration and traceability questions</t>
    </r>
    <r>
      <rPr>
        <sz val="10"/>
        <color theme="0"/>
        <rFont val="Arial"/>
        <family val="2"/>
        <scheme val="minor"/>
      </rPr>
      <t xml:space="preserve"> are sufficient to ensure consistency across lifecycle phases?</t>
    </r>
  </si>
  <si>
    <r>
      <t xml:space="preserve">Are there any </t>
    </r>
    <r>
      <rPr>
        <b/>
        <sz val="10"/>
        <color theme="0"/>
        <rFont val="Arial"/>
        <family val="2"/>
        <scheme val="minor"/>
      </rPr>
      <t>important missing elements</t>
    </r>
    <r>
      <rPr>
        <sz val="10"/>
        <color theme="0"/>
        <rFont val="Arial"/>
        <family val="2"/>
        <scheme val="minor"/>
      </rPr>
      <t xml:space="preserve"> in the proposed review phases? If so, please specify. 7</t>
    </r>
  </si>
  <si>
    <r>
      <t xml:space="preserve">To what extent do you agree that </t>
    </r>
    <r>
      <rPr>
        <b/>
        <sz val="10"/>
        <color theme="0"/>
        <rFont val="Arial"/>
        <family val="2"/>
        <scheme val="minor"/>
      </rPr>
      <t>external requirement verification</t>
    </r>
    <r>
      <rPr>
        <sz val="10"/>
        <color theme="0"/>
        <rFont val="Arial"/>
        <family val="2"/>
        <scheme val="minor"/>
      </rPr>
      <t xml:space="preserve"> is sufficient for critical systems (B and A)?</t>
    </r>
  </si>
  <si>
    <r>
      <t xml:space="preserve">To what extent do you agree that </t>
    </r>
    <r>
      <rPr>
        <b/>
        <sz val="10"/>
        <color theme="0"/>
        <rFont val="Arial"/>
        <family val="2"/>
        <scheme val="minor"/>
      </rPr>
      <t>external validation of training data and models</t>
    </r>
    <r>
      <rPr>
        <sz val="10"/>
        <color theme="0"/>
        <rFont val="Arial"/>
        <family val="2"/>
        <scheme val="minor"/>
      </rPr>
      <t xml:space="preserve"> is sufficient for critical systems (B and A)?</t>
    </r>
  </si>
  <si>
    <r>
      <t xml:space="preserve">To what extent do you agree that </t>
    </r>
    <r>
      <rPr>
        <b/>
        <sz val="10"/>
        <color theme="0"/>
        <rFont val="Arial"/>
        <family val="2"/>
        <scheme val="minor"/>
      </rPr>
      <t>continuous monitoring and recertification</t>
    </r>
    <r>
      <rPr>
        <sz val="10"/>
        <color theme="0"/>
        <rFont val="Arial"/>
        <family val="2"/>
        <scheme val="minor"/>
      </rPr>
      <t xml:space="preserve"> should be mandatory for post-deployment?</t>
    </r>
  </si>
  <si>
    <r>
      <t xml:space="preserve">Are there any </t>
    </r>
    <r>
      <rPr>
        <b/>
        <sz val="10"/>
        <color theme="0"/>
        <rFont val="Arial"/>
        <family val="2"/>
        <scheme val="minor"/>
      </rPr>
      <t>important missing elements</t>
    </r>
    <r>
      <rPr>
        <sz val="10"/>
        <color theme="0"/>
        <rFont val="Arial"/>
        <family val="2"/>
        <scheme val="minor"/>
      </rPr>
      <t xml:space="preserve"> in the proposed review phases? If so, please specify. 8</t>
    </r>
  </si>
  <si>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</si>
  <si>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</si>
  <si>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</si>
  <si>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</si>
  <si>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</si>
  <si>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</si>
  <si>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</si>
  <si>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</si>
  <si>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</si>
  <si>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</si>
  <si>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</si>
  <si>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</si>
  <si>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</si>
  <si>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</si>
  <si>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</si>
  <si>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</si>
  <si>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</si>
  <si>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</si>
  <si>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</si>
  <si>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</si>
  <si>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</si>
  <si>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</si>
  <si>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</si>
  <si>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</si>
  <si>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</si>
  <si>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</si>
  <si>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</si>
  <si>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</si>
  <si>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 xml:space="preserve">For critical applications, to what extent do you agree that feedback loop in model design improves model continuous improvement?
Feedback Loops: Establish mechanisms to collect feedback from users or systems to continuously improve the model in order to </t>
  </si>
  <si>
    <t>Expert ID</t>
  </si>
  <si>
    <t>E1</t>
  </si>
  <si>
    <t>E2</t>
  </si>
  <si>
    <t>E3</t>
  </si>
  <si>
    <t>E4</t>
  </si>
  <si>
    <t>E5</t>
  </si>
  <si>
    <t>E6</t>
  </si>
  <si>
    <r>
      <t xml:space="preserve">To what extent do you agree that </t>
    </r>
    <r>
      <rPr>
        <sz val="10"/>
        <color theme="0"/>
        <rFont val="Arial"/>
        <family val="2"/>
        <scheme val="minor"/>
      </rPr>
      <t>pre-deployment tests for unintended behaviour</t>
    </r>
    <r>
      <rPr>
        <sz val="10"/>
        <color theme="0"/>
        <rFont val="Arial"/>
        <family val="2"/>
        <scheme val="minor"/>
      </rPr>
      <t xml:space="preserve"> are sufficient for critical systems (B and A)?</t>
    </r>
  </si>
  <si>
    <r>
      <t xml:space="preserve">To what extent do you agree that </t>
    </r>
    <r>
      <rPr>
        <sz val="10"/>
        <color theme="0"/>
        <rFont val="Arial"/>
        <family val="2"/>
        <scheme val="minor"/>
      </rPr>
      <t>regulatory conformance checks</t>
    </r>
    <r>
      <rPr>
        <sz val="10"/>
        <color theme="0"/>
        <rFont val="Arial"/>
        <family val="2"/>
        <scheme val="minor"/>
      </rPr>
      <t xml:space="preserve"> should be mandatory for </t>
    </r>
    <r>
      <rPr>
        <sz val="10"/>
        <color theme="0"/>
        <rFont val="Arial"/>
        <family val="2"/>
        <scheme val="minor"/>
      </rPr>
      <t>A-critical systems</t>
    </r>
    <r>
      <rPr>
        <sz val="10"/>
        <color theme="0"/>
        <rFont val="Arial"/>
        <family val="2"/>
        <scheme val="minor"/>
      </rPr>
      <t>?</t>
    </r>
  </si>
  <si>
    <t>Key</t>
  </si>
  <si>
    <t>Value</t>
  </si>
  <si>
    <t>Section</t>
  </si>
  <si>
    <t>Question ID</t>
  </si>
  <si>
    <t>Questions</t>
  </si>
  <si>
    <t>Reviewer 1</t>
  </si>
  <si>
    <t>Reviewer 2</t>
  </si>
  <si>
    <t>Reviewer 3</t>
  </si>
  <si>
    <t>Reviewer 4</t>
  </si>
  <si>
    <t>Reviewer 5</t>
  </si>
  <si>
    <t>Reviewer 6</t>
  </si>
  <si>
    <t>Mean</t>
  </si>
  <si>
    <t>Absolute Mean</t>
  </si>
  <si>
    <t>Std</t>
  </si>
  <si>
    <t>IQR</t>
  </si>
  <si>
    <t>Reviewer</t>
  </si>
  <si>
    <t xml:space="preserve">If you selected “Other”, please specify the organization or company you work for: </t>
  </si>
  <si>
    <t>Formal Review</t>
  </si>
  <si>
    <t>Configuration Management</t>
  </si>
  <si>
    <t>To what extent do you agree that the proposed configuration management phases (version control, change management, baseline management, traceability) are sufficient and follow the ECSS standard?</t>
  </si>
  <si>
    <t>Data Management</t>
  </si>
  <si>
    <t>To what extent do you agree that the dataset quality verification process is sufficient for AI applications?</t>
  </si>
  <si>
    <t>Model Learning</t>
  </si>
  <si>
    <t>To what extent do you agree that the proposed methodologies (e.g., data leakage, data mismatch, drift analysis) are necessary to ensure model quality during the learning phase, considering criticality levels?</t>
  </si>
  <si>
    <t>To what extent do you agree that model performance validation is sufficient to ensure model quality during the learning phase, considering criticality levels?</t>
  </si>
  <si>
    <t>To what extent do you agree that model explainability and bias/fairness audits help to qualify a model with the highest criticality level?</t>
  </si>
  <si>
    <t>Model Verification</t>
  </si>
  <si>
    <t>To what extent do you agree that the proposed verification methodologies (e.g., formal methods, robustness testing) are necessary to ensure model quality during the verification phase, considering criticality levels?</t>
  </si>
  <si>
    <t>To what extent do you agree that generating test cases from the design domain and that simulation-based testing are necessary to ensure model quality during the verification phase, considering criticality levels?</t>
  </si>
  <si>
    <t>To what extent do you agree that adversarial robustness testing and stress testing should be mandatory for A-critical systems?</t>
  </si>
  <si>
    <t>Model Deployment</t>
  </si>
  <si>
    <t>To what extent do you agree that embeddability is a critical factor for model selection and design, especially for deployment on embedded hardware?</t>
  </si>
  <si>
    <t>To what extent do you agree that using integrated development environments (from GPU-based development/testing to real-target deployment) impacts qualification?</t>
  </si>
  <si>
    <t>To what extent do you agree that pre and post deployment validation and monitoring is important to qualify critical models?</t>
  </si>
  <si>
    <t>To what extent do you agree that model obsolescence is a risk, and that defining an update plan is important?</t>
  </si>
  <si>
    <t>For critical applications, to what extent do you agree that redundancy improves robustness? What do you consider the right trade-off between robustness and resource usage?</t>
  </si>
  <si>
    <t>To what extent do you agree that real-time model monitoring (e.g., for model drift or failures) should be mandatory for A-critical systems?</t>
  </si>
  <si>
    <t>Safety Requirement Assurance &amp; 
Integration and Traceability</t>
  </si>
  <si>
    <t>To what extent do you agree that the proposed integration and traceability questions are sufficient to ensure consistency across lifecycle phases?</t>
  </si>
  <si>
    <t>To what extent do you agree that external requirement verification is sufficient for critical systems (B and A)?</t>
  </si>
  <si>
    <t>To what extent do you agree that external validation of training data and models is sufficient for critical systems (B and A)?</t>
  </si>
  <si>
    <t>To what extent do you agree that continuous monitoring and recertification should be mandatory for post-deployment?</t>
  </si>
  <si>
    <t>To what extent do you agree that regulatory conformance checks should be mandatory for A-critical systems?</t>
  </si>
  <si>
    <t>To what extent do you agree that pre-deployment tests for unintended behaviour are sufficient for critical systems (B and A)?</t>
  </si>
  <si>
    <t>Space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</si>
</sst>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7" x14ac:knownFonts="1">
    <font>
      <sz val="10"/>
      <color rgb="FF000000"/>
      <name val="Arial"/>
      <scheme val="minor"/>
    </font>
    <font>
      <sz val="10"/>
      <color theme="1"/>
      <name val="Arial"/>
      <family val="2"/>
      <scheme val="minor"/>
    </font>
    <font>
      <b/>
      <sz val="10"/>
      <color rgb="FF000000"/>
      <name val="Arial"/>
      <family val="2"/>
      <scheme val="minor"/>
    </font>
    <font>
      <sz val="10"/>
      <color theme="0"/>
      <name val="Arial"/>
      <family val="2"/>
      <scheme val="minor"/>
    </font>
    <font>
      <i/>
      <sz val="10"/>
      <color theme="0"/>
      <name val="Arial"/>
      <family val="2"/>
      <scheme val="minor"/>
    </font>
    <font>
      <b/>
      <sz val="10"/>
      <color theme="0"/>
      <name val="Arial"/>
      <family val="2"/>
      <scheme val="minor"/>
    </font>
    <font>
      <sz val="10"/>
      <color rgb="FF000000"/>
      <name val="Arial"/>
      <family val="2"/>
      <scheme val="minor"/>
    </font>
  </fonts>
  <fills count="6">
    <fill>
      <patternFill patternType="none"/>
    </fill>
    <fill>
      <patternFill patternType="gray125"/>
    </fill>
    <fill>
      <patternFill patternType="solid">
        <fgColor rgb="FF00FF00"/>
        <bgColor rgb="FF00FF00"/>
      </patternFill>
    </fill>
    <fill>
      <patternFill patternType="solid">
        <fgColor theme="0" tint="-0.249977111117893"/>
        <bgColor indexed="64"/>
      </patternFill>
    </fill>
    <fill>
      <patternFill patternType="solid">
        <fgColor theme="1"/>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1">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wrapText="1"/>
    </xf>
    <xf numFmtId="164"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6" fillId="0" borderId="0" xfId="0" applyFont="1" applyAlignment="1">
      <alignment horizontal="center" wrapText="1"/>
    </xf>
    <xf numFmtId="0" fontId="2" fillId="0" borderId="0" xfId="0" applyFont="1" applyAlignment="1">
      <alignment horizontal="center" wrapText="1"/>
    </xf>
    <xf numFmtId="0" fontId="2" fillId="0" borderId="0" xfId="0" applyFont="1" applyAlignment="1">
      <alignment horizontal="center" vertical="center"/>
    </xf>
    <xf numFmtId="0" fontId="2" fillId="0" borderId="0" xfId="0" applyFont="1"/>
    <xf numFmtId="0" fontId="1" fillId="0" borderId="0" xfId="0" applyFont="1" applyAlignment="1">
      <alignment horizontal="center" vertical="center"/>
    </xf>
    <xf numFmtId="0" fontId="0" fillId="0" borderId="0" xfId="0"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2" fontId="0" fillId="0" borderId="1" xfId="0" applyNumberFormat="1" applyBorder="1" applyAlignment="1">
      <alignment horizontal="center" vertical="center"/>
    </xf>
    <xf numFmtId="2" fontId="2" fillId="0" borderId="1" xfId="0" applyNumberFormat="1" applyFont="1" applyBorder="1" applyAlignment="1">
      <alignment horizontal="center" vertical="center"/>
    </xf>
    <xf numFmtId="0" fontId="2" fillId="5" borderId="1" xfId="0" applyFont="1" applyFill="1"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horizontal="left" vertical="center" wrapText="1"/>
    </xf>
    <xf numFmtId="2" fontId="0" fillId="5" borderId="1" xfId="0" applyNumberFormat="1" applyFill="1" applyBorder="1" applyAlignment="1">
      <alignment horizontal="center" vertical="center"/>
    </xf>
    <xf numFmtId="2" fontId="2" fillId="5" borderId="1" xfId="0" applyNumberFormat="1" applyFont="1" applyFill="1" applyBorder="1" applyAlignment="1">
      <alignment horizontal="center" vertical="center"/>
    </xf>
    <xf numFmtId="0" fontId="2" fillId="0" borderId="1" xfId="0" applyFont="1" applyBorder="1" applyAlignment="1">
      <alignment horizontal="center" vertical="center"/>
    </xf>
    <xf numFmtId="0" fontId="2" fillId="5"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2" fontId="0" fillId="0" borderId="0" xfId="0" applyNumberFormat="1" applyAlignment="1">
      <alignment horizontal="center" vertical="center"/>
    </xf>
    <xf numFmtId="2" fontId="2" fillId="0" borderId="0" xfId="0" applyNumberFormat="1" applyFont="1" applyAlignment="1">
      <alignment horizontal="center" vertical="center"/>
    </xf>
    <xf numFmtId="0" fontId="2" fillId="3" borderId="0" xfId="0" applyFont="1" applyFill="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2" fontId="2" fillId="0" borderId="2" xfId="0" applyNumberFormat="1" applyFont="1" applyBorder="1" applyAlignment="1">
      <alignment horizontal="center" vertical="center"/>
    </xf>
    <xf numFmtId="2" fontId="2" fillId="0" borderId="3" xfId="0" applyNumberFormat="1" applyFont="1" applyBorder="1" applyAlignment="1">
      <alignment horizontal="center" vertical="center"/>
    </xf>
    <xf numFmtId="2" fontId="2" fillId="0" borderId="4" xfId="0" applyNumberFormat="1" applyFon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4" xfId="0" applyNumberFormat="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2" fontId="2" fillId="5" borderId="2" xfId="0" applyNumberFormat="1" applyFont="1" applyFill="1" applyBorder="1" applyAlignment="1">
      <alignment horizontal="center" vertical="center"/>
    </xf>
    <xf numFmtId="2" fontId="2" fillId="5" borderId="3" xfId="0" applyNumberFormat="1" applyFont="1" applyFill="1" applyBorder="1" applyAlignment="1">
      <alignment horizontal="center" vertical="center"/>
    </xf>
    <xf numFmtId="2" fontId="2" fillId="5" borderId="4" xfId="0" applyNumberFormat="1" applyFont="1" applyFill="1" applyBorder="1" applyAlignment="1">
      <alignment horizontal="center" vertical="center"/>
    </xf>
    <xf numFmtId="2" fontId="0" fillId="5" borderId="2" xfId="0" applyNumberFormat="1" applyFill="1" applyBorder="1" applyAlignment="1">
      <alignment horizontal="center" vertical="center"/>
    </xf>
    <xf numFmtId="2" fontId="0" fillId="5" borderId="3" xfId="0" applyNumberFormat="1" applyFill="1" applyBorder="1" applyAlignment="1">
      <alignment horizontal="center" vertical="center"/>
    </xf>
    <xf numFmtId="2" fontId="0" fillId="5" borderId="4" xfId="0" applyNumberFormat="1" applyFill="1" applyBorder="1" applyAlignment="1">
      <alignment horizontal="center" vertical="center"/>
    </xf>
    <xf numFmtId="2" fontId="2" fillId="5" borderId="1" xfId="0" applyNumberFormat="1" applyFont="1" applyFill="1" applyBorder="1" applyAlignment="1">
      <alignment horizontal="center" vertical="center"/>
    </xf>
    <xf numFmtId="0" fontId="6" fillId="0" borderId="1" xfId="0" applyFont="1" applyBorder="1" applyAlignment="1">
      <alignment horizontal="center" vertical="center"/>
    </xf>
  </cellXfs>
  <cellStyles count="1">
    <cellStyle name="Normal" xfId="0" builtinId="0"/>
  </cellStyles>
  <dxfs count="86">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numFmt numFmtId="164" formatCode="m/d/yyyy\ h:mm:ss"/>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alignment horizontal="center" textRotation="0" wrapText="1" indent="0" justifyLastLine="0" shrinkToFit="0" readingOrder="0"/>
    </dxf>
    <dxf>
      <font>
        <strike val="0"/>
        <outline val="0"/>
        <shadow val="0"/>
        <u val="none"/>
        <vertAlign val="baseline"/>
        <sz val="10"/>
        <name val="Arial"/>
        <scheme val="minor"/>
      </font>
      <alignment horizontal="center" textRotation="0" wrapText="1" indent="0" justifyLastLine="0" shrinkToFit="0" readingOrder="0"/>
    </dxf>
    <dxf>
      <font>
        <strike val="0"/>
        <outline val="0"/>
        <shadow val="0"/>
        <u val="none"/>
        <vertAlign val="baseline"/>
        <sz val="10"/>
        <color theme="0"/>
        <name val="Arial"/>
        <scheme val="minor"/>
      </font>
      <fill>
        <patternFill patternType="none">
          <fgColor indexed="64"/>
          <bgColor auto="1"/>
        </patternFill>
      </fill>
      <alignment horizontal="center"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D6CFE0"/>
          <bgColor rgb="FFD6CFE0"/>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isposte del modulo 1-style" pivot="0" count="5" xr9:uid="{00000000-0011-0000-FFFF-FFFF00000000}">
      <tableStyleElement type="wholeTable" size="0" dxfId="85"/>
      <tableStyleElement type="headerRow" dxfId="84"/>
      <tableStyleElement type="totalRow" dxfId="83"/>
      <tableStyleElement type="firstRowStripe" dxfId="82"/>
      <tableStyleElement type="secondRowStripe" dxfId="8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lberto.petrucci/Downloads/AeroSafe%20Questionnaire%20(Summary%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poste del modulo 1"/>
      <sheetName val="Values"/>
    </sheetNames>
    <sheetDataSet>
      <sheetData sheetId="0"/>
      <sheetData sheetId="1">
        <row r="2">
          <cell r="A2" t="str">
            <v>0–2 years (Junior / Early career)</v>
          </cell>
          <cell r="B2">
            <v>1</v>
          </cell>
        </row>
        <row r="3">
          <cell r="A3" t="str">
            <v>3–5 years (Intermediate)</v>
          </cell>
          <cell r="B3">
            <v>4</v>
          </cell>
        </row>
        <row r="4">
          <cell r="A4" t="str">
            <v>16+ years (Expert)</v>
          </cell>
          <cell r="B4">
            <v>16</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2:AL8" totalsRowShown="0" headerRowDxfId="80" dataDxfId="79" totalsRowDxfId="78">
  <tableColumns count="38">
    <tableColumn id="1" xr3:uid="{00000000-0010-0000-0000-000001000000}" name="Informazioni cronologiche" dataDxfId="77" totalsRowDxfId="76"/>
    <tableColumn id="30" xr3:uid="{00000000-0010-0000-0000-00001E000000}" name="Expert ID" dataDxfId="75" totalsRowDxfId="74"/>
    <tableColumn id="2" xr3:uid="{00000000-0010-0000-0000-000002000000}" name="Please indicate your professional background (select one or specify)" dataDxfId="73" totalsRowDxfId="72"/>
    <tableColumn id="3" xr3:uid="{00000000-0010-0000-0000-000003000000}" name="Years of experience in your field" dataDxfId="71" totalsRowDxfId="70"/>
    <tableColumn id="4" xr3:uid="{00000000-0010-0000-0000-000004000000}" name="Experience with ECSS standards" dataDxfId="69" totalsRowDxfId="68"/>
    <tableColumn id="5" xr3:uid="{00000000-0010-0000-0000-000005000000}" name="Experience with AI/ML systems" dataDxfId="67" totalsRowDxfId="66"/>
    <tableColumn id="6" xr3:uid="{00000000-0010-0000-0000-000006000000}" name="Please indicate the name of the organization or company you are currently employed by" dataDxfId="65" totalsRowDxfId="64"/>
    <tableColumn id="7" xr3:uid="{00000000-0010-0000-0000-000007000000}" name="If you selected “Other”, please specify the organization or company you work for: " dataDxfId="63" totalsRowDxfId="62"/>
    <tableColumn id="8" xr3:uid="{00000000-0010-0000-0000-000008000000}" name="To what extent do you agree that the following three phases (TRR, CDR, VVR) are sufficient for software qualification and follow the ECSS standards?" dataDxfId="61" totalsRowDxfId="60"/>
    <tableColumn id="9" xr3:uid="{00000000-0010-0000-0000-000009000000}" name="Are there any important missing elements in the proposed review phases? If so, please specify." dataDxfId="59" totalsRowDxfId="58"/>
    <tableColumn id="10" xr3:uid="{00000000-0010-0000-0000-00000A000000}" name="To what extent do you agree that the proposed configuration management phases (version control, change management, baseline management, traceability) are sufficient and follow the ECSS standard?" dataDxfId="57" totalsRowDxfId="56"/>
    <tableColumn id="11" xr3:uid="{00000000-0010-0000-0000-00000B000000}" name="Are there any important missing elements in the proposed review phases? If so, please specify. 2" dataDxfId="55" totalsRowDxfId="54"/>
    <tableColumn id="12" xr3:uid="{00000000-0010-0000-0000-00000C000000}" name="To what extent do you agree that the dataset quality verification process is sufficient for AI applications?" dataDxfId="53" totalsRowDxfId="52"/>
    <tableColumn id="13" xr3:uid="{00000000-0010-0000-0000-00000D000000}" name="Do you have additional considerations for bias mitigation, security, and privacy in satellite applications? If so, please specify." dataDxfId="51" totalsRowDxfId="50"/>
    <tableColumn id="14" xr3:uid="{00000000-0010-0000-0000-00000E000000}" name="To what extent do you agree that the proposed methodologies (e.g., data leakage, data mismatch, drift analysis) are necessary to ensure model quality during the learning phase, considering criticality levels?" dataDxfId="49" totalsRowDxfId="48"/>
    <tableColumn id="15" xr3:uid="{00000000-0010-0000-0000-00000F000000}" name="To what extent do you agree that model performance validation is sufficient to ensure model quality during the learning phase, considering criticality levels?" dataDxfId="47" totalsRowDxfId="46"/>
    <tableColumn id="16" xr3:uid="{00000000-0010-0000-0000-000010000000}" name="To what extent do you agree that model explainability and bias/fairness audits help to qualify a model with the highest criticality level?" dataDxfId="45" totalsRowDxfId="44"/>
    <tableColumn id="17" xr3:uid="{00000000-0010-0000-0000-000011000000}" name="Are there any important missing elements in the proposed review phases? If so, please specify. 3" dataDxfId="43" totalsRowDxfId="42"/>
    <tableColumn id="18" xr3:uid="{00000000-0010-0000-0000-000012000000}" name="To what extent do you agree that the proposed verification methodologies (e.g., formal methods, robustness testing) are necessary to ensure model quality during the verification phase, considering criticality levels?" dataDxfId="41" totalsRowDxfId="40"/>
    <tableColumn id="19" xr3:uid="{00000000-0010-0000-0000-000013000000}" name="To what extent do you agree that generating test cases from the design domain and that simulation-based testing are necessary to ensure model quality during the verification phase, considering criticality levels?" dataDxfId="39" totalsRowDxfId="38"/>
    <tableColumn id="20" xr3:uid="{00000000-0010-0000-0000-000014000000}" name="To what extent do you agree that adversarial robustness testing and stress testing should be mandatory for A-critical systems?" dataDxfId="37" totalsRowDxfId="36"/>
    <tableColumn id="21" xr3:uid="{00000000-0010-0000-0000-000015000000}" name="Are there any important missing elements in the proposed review phases? If so, please specify. 4" dataDxfId="35" totalsRowDxfId="34"/>
    <tableColumn id="22" xr3:uid="{00000000-0010-0000-0000-000016000000}" name="To what extent do you agree that embeddability is a critical factor for model selection and design, especially for deployment on embedded hardware?" dataDxfId="33" totalsRowDxfId="32"/>
    <tableColumn id="23" xr3:uid="{00000000-0010-0000-0000-000017000000}" name="To what extent do you agree that using integrated development environments (from GPU-based development/testing to real-target deployment) impacts qualification?" dataDxfId="31" totalsRowDxfId="30"/>
    <tableColumn id="24" xr3:uid="{00000000-0010-0000-0000-000018000000}" name="To what extent do you agree that pre and post deployment validation and monitoring is important to qualify critical models?" dataDxfId="29" totalsRowDxfId="28"/>
    <tableColumn id="25" xr3:uid="{00000000-0010-0000-0000-000019000000}" name="To what extent do you agree that model obsolescence is a risk, and that defining an update plan is important?" dataDxfId="27" totalsRowDxfId="26"/>
    <tableColumn id="26" xr3:uid="{00000000-0010-0000-0000-00001A000000}" name="For critical applications, to what extent do you agree that feedback loop in model design improves model continuous improvement?_x000a__x000a_Feedback Loops: Establish mechanisms to collect feedback from users or systems to continuously improve the model in order to " dataDxfId="25" totalsRowDxfId="24"/>
    <tableColumn id="27" xr3:uid="{00000000-0010-0000-0000-00001B000000}" name="For critical applications, to what extent do you agree that redundancy improves robustness? What do you consider the right trade-off between robustness and resource usage?" dataDxfId="23" totalsRowDxfId="22"/>
    <tableColumn id="28" xr3:uid="{00000000-0010-0000-0000-00001C000000}" name="To what extent do you agree that real-time model monitoring (e.g., for model drift or failures) should be mandatory for A-critical systems?" dataDxfId="21" totalsRowDxfId="20"/>
    <tableColumn id="29" xr3:uid="{00000000-0010-0000-0000-00001D000000}" name="Are there any important missing elements in the proposed review phases? If so, please specify. 5" dataDxfId="19" totalsRowDxfId="18"/>
    <tableColumn id="32" xr3:uid="{00000000-0010-0000-0000-000020000000}" name="To what extent do you agree that the proposed integration and traceability questions are sufficient to ensure consistency across lifecycle phases?" dataDxfId="17" totalsRowDxfId="16"/>
    <tableColumn id="33" xr3:uid="{00000000-0010-0000-0000-000021000000}" name="Are there any important missing elements in the proposed review phases? If so, please specify. 7" dataDxfId="15" totalsRowDxfId="14"/>
    <tableColumn id="34" xr3:uid="{00000000-0010-0000-0000-000022000000}" name="To what extent do you agree that external requirement verification is sufficient for critical systems (B and A)?" dataDxfId="13" totalsRowDxfId="12"/>
    <tableColumn id="35" xr3:uid="{00000000-0010-0000-0000-000023000000}" name="To what extent do you agree that external validation of training data and models is sufficient for critical systems (B and A)?" dataDxfId="11" totalsRowDxfId="10"/>
    <tableColumn id="36" xr3:uid="{00000000-0010-0000-0000-000024000000}" name="To what extent do you agree that pre-deployment tests for unintended behaviour are sufficient for critical systems (B and A)?" dataDxfId="9" totalsRowDxfId="8"/>
    <tableColumn id="37" xr3:uid="{00000000-0010-0000-0000-000025000000}" name="To what extent do you agree that continuous monitoring and recertification should be mandatory for post-deployment?" dataDxfId="7" totalsRowDxfId="6"/>
    <tableColumn id="38" xr3:uid="{00000000-0010-0000-0000-000026000000}" name="To what extent do you agree that regulatory conformance checks should be mandatory for A-critical systems?" dataDxfId="5" totalsRowDxfId="4"/>
    <tableColumn id="39" xr3:uid="{00000000-0010-0000-0000-000027000000}" name="Are there any important missing elements in the proposed review phases? If so, please specify. 8" dataDxfId="3" totalsRowDxfId="2"/>
  </tableColumns>
  <tableStyleInfo name="TableStyleMedium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9"/>
  <sheetViews>
    <sheetView tabSelected="1" zoomScale="80" zoomScaleNormal="80" workbookViewId="0">
      <pane xSplit="2" topLeftCell="C1" activePane="topRight" state="frozen"/>
      <selection pane="topRight" activeCell="C4" sqref="C4"/>
    </sheetView>
  </sheetViews>
  <sheetFormatPr baseColWidth="10" defaultColWidth="12.6640625" defaultRowHeight="13" x14ac:dyDescent="0.15"/>
  <cols>
    <col min="1" max="2" width="24.33203125" style="6" customWidth="1"/>
    <col min="3" max="3" width="37.6640625" style="6" customWidth="1"/>
    <col min="4" max="4" width="28.33203125" style="6" customWidth="1"/>
    <col min="5" max="5" width="28.6640625" style="6" customWidth="1"/>
    <col min="6" max="6" width="28.1640625" style="6" customWidth="1"/>
    <col min="7" max="37" width="37.6640625" style="6" customWidth="1"/>
    <col min="38" max="38" width="187.6640625" style="6" customWidth="1"/>
    <col min="39" max="44" width="18.83203125" style="6" customWidth="1"/>
    <col min="45" max="16384" width="12.6640625" style="6"/>
  </cols>
  <sheetData>
    <row r="1" spans="1:38" s="1" customFormat="1" x14ac:dyDescent="0.15">
      <c r="I1" s="29" t="s">
        <v>41</v>
      </c>
      <c r="J1" s="29"/>
      <c r="K1" s="30" t="s">
        <v>42</v>
      </c>
      <c r="L1" s="30"/>
      <c r="M1" s="29" t="s">
        <v>43</v>
      </c>
      <c r="N1" s="29"/>
      <c r="O1" s="30" t="s">
        <v>44</v>
      </c>
      <c r="P1" s="30"/>
      <c r="Q1" s="30"/>
      <c r="R1" s="30"/>
      <c r="S1" s="29" t="s">
        <v>45</v>
      </c>
      <c r="T1" s="29"/>
      <c r="U1" s="29"/>
      <c r="V1" s="29"/>
      <c r="W1" s="30" t="s">
        <v>46</v>
      </c>
      <c r="X1" s="30"/>
      <c r="Y1" s="30"/>
      <c r="Z1" s="30"/>
      <c r="AA1" s="30"/>
      <c r="AB1" s="30"/>
      <c r="AC1" s="30"/>
      <c r="AD1" s="30"/>
      <c r="AE1" s="29" t="s">
        <v>48</v>
      </c>
      <c r="AF1" s="29"/>
      <c r="AG1" s="30" t="s">
        <v>47</v>
      </c>
      <c r="AH1" s="30"/>
      <c r="AI1" s="30"/>
      <c r="AJ1" s="30"/>
      <c r="AK1" s="30"/>
      <c r="AL1" s="30"/>
    </row>
    <row r="2" spans="1:38" ht="98" x14ac:dyDescent="0.15">
      <c r="A2" s="2" t="s">
        <v>0</v>
      </c>
      <c r="B2" s="2" t="s">
        <v>103</v>
      </c>
      <c r="C2" s="2" t="s">
        <v>1</v>
      </c>
      <c r="D2" s="2" t="s">
        <v>2</v>
      </c>
      <c r="E2" s="2" t="s">
        <v>3</v>
      </c>
      <c r="F2" s="2" t="s">
        <v>4</v>
      </c>
      <c r="G2" s="2" t="s">
        <v>5</v>
      </c>
      <c r="H2" s="2" t="s">
        <v>49</v>
      </c>
      <c r="I2" s="2" t="s">
        <v>6</v>
      </c>
      <c r="J2" s="2" t="s">
        <v>7</v>
      </c>
      <c r="K2" s="2" t="s">
        <v>50</v>
      </c>
      <c r="L2" s="2" t="s">
        <v>8</v>
      </c>
      <c r="M2" s="2" t="s">
        <v>51</v>
      </c>
      <c r="N2" s="2" t="s">
        <v>52</v>
      </c>
      <c r="O2" s="2" t="s">
        <v>53</v>
      </c>
      <c r="P2" s="2" t="s">
        <v>54</v>
      </c>
      <c r="Q2" s="2" t="s">
        <v>55</v>
      </c>
      <c r="R2" s="2" t="s">
        <v>56</v>
      </c>
      <c r="S2" s="2" t="s">
        <v>57</v>
      </c>
      <c r="T2" s="2" t="s">
        <v>58</v>
      </c>
      <c r="U2" s="2" t="s">
        <v>59</v>
      </c>
      <c r="V2" s="2" t="s">
        <v>60</v>
      </c>
      <c r="W2" s="2" t="s">
        <v>61</v>
      </c>
      <c r="X2" s="2" t="s">
        <v>62</v>
      </c>
      <c r="Y2" s="2" t="s">
        <v>63</v>
      </c>
      <c r="Z2" s="2" t="s">
        <v>64</v>
      </c>
      <c r="AA2" s="2" t="s">
        <v>102</v>
      </c>
      <c r="AB2" s="2" t="s">
        <v>65</v>
      </c>
      <c r="AC2" s="2" t="s">
        <v>66</v>
      </c>
      <c r="AD2" s="2" t="s">
        <v>67</v>
      </c>
      <c r="AE2" s="2" t="s">
        <v>68</v>
      </c>
      <c r="AF2" s="2" t="s">
        <v>69</v>
      </c>
      <c r="AG2" s="2" t="s">
        <v>70</v>
      </c>
      <c r="AH2" s="2" t="s">
        <v>71</v>
      </c>
      <c r="AI2" s="2" t="s">
        <v>110</v>
      </c>
      <c r="AJ2" s="2" t="s">
        <v>72</v>
      </c>
      <c r="AK2" s="2" t="s">
        <v>111</v>
      </c>
      <c r="AL2" s="2" t="s">
        <v>73</v>
      </c>
    </row>
    <row r="3" spans="1:38" ht="28" x14ac:dyDescent="0.15">
      <c r="A3" s="3">
        <v>45967.376392997685</v>
      </c>
      <c r="B3" s="3" t="s">
        <v>104</v>
      </c>
      <c r="C3" s="4" t="s">
        <v>9</v>
      </c>
      <c r="D3" s="4" t="s">
        <v>10</v>
      </c>
      <c r="E3" s="4" t="s">
        <v>10</v>
      </c>
      <c r="F3" s="4" t="s">
        <v>10</v>
      </c>
      <c r="G3" s="4" t="s">
        <v>11</v>
      </c>
      <c r="H3" s="4" t="s">
        <v>12</v>
      </c>
      <c r="I3" s="4">
        <v>4</v>
      </c>
      <c r="J3" s="5" t="s">
        <v>13</v>
      </c>
      <c r="K3" s="4">
        <v>4</v>
      </c>
      <c r="L3" s="4"/>
      <c r="M3" s="4">
        <v>4</v>
      </c>
      <c r="N3" s="5" t="s">
        <v>14</v>
      </c>
      <c r="O3" s="4">
        <v>5</v>
      </c>
      <c r="P3" s="4">
        <v>4</v>
      </c>
      <c r="Q3" s="4">
        <v>4</v>
      </c>
      <c r="R3" s="4"/>
      <c r="S3" s="4">
        <v>5</v>
      </c>
      <c r="T3" s="4">
        <v>5</v>
      </c>
      <c r="U3" s="4">
        <v>4</v>
      </c>
      <c r="V3" s="4"/>
      <c r="W3" s="4">
        <v>4</v>
      </c>
      <c r="X3" s="4">
        <v>4</v>
      </c>
      <c r="Y3" s="4">
        <v>4</v>
      </c>
      <c r="Z3" s="4">
        <v>4</v>
      </c>
      <c r="AA3" s="4">
        <v>4</v>
      </c>
      <c r="AB3" s="4">
        <v>3</v>
      </c>
      <c r="AC3" s="4">
        <v>3</v>
      </c>
      <c r="AD3" s="5" t="s">
        <v>15</v>
      </c>
      <c r="AE3" s="4">
        <v>5</v>
      </c>
      <c r="AF3" s="4"/>
      <c r="AG3" s="4">
        <v>4</v>
      </c>
      <c r="AH3" s="4">
        <v>4</v>
      </c>
      <c r="AI3" s="4">
        <v>5</v>
      </c>
      <c r="AJ3" s="4">
        <v>5</v>
      </c>
      <c r="AK3" s="4">
        <v>5</v>
      </c>
      <c r="AL3" s="4"/>
    </row>
    <row r="4" spans="1:38" ht="84" x14ac:dyDescent="0.15">
      <c r="A4" s="3">
        <v>45967.741526400467</v>
      </c>
      <c r="B4" s="3" t="s">
        <v>105</v>
      </c>
      <c r="C4" s="4" t="s">
        <v>16</v>
      </c>
      <c r="D4" s="4" t="s">
        <v>17</v>
      </c>
      <c r="E4" s="4" t="s">
        <v>17</v>
      </c>
      <c r="F4" s="4" t="s">
        <v>18</v>
      </c>
      <c r="G4" s="4" t="s">
        <v>156</v>
      </c>
      <c r="H4" s="4"/>
      <c r="I4" s="4">
        <v>5</v>
      </c>
      <c r="J4" s="5" t="s">
        <v>19</v>
      </c>
      <c r="K4" s="4">
        <v>5</v>
      </c>
      <c r="L4" s="5" t="s">
        <v>20</v>
      </c>
      <c r="M4" s="4">
        <v>5</v>
      </c>
      <c r="N4" s="5" t="s">
        <v>21</v>
      </c>
      <c r="O4" s="4">
        <v>5</v>
      </c>
      <c r="P4" s="4">
        <v>5</v>
      </c>
      <c r="Q4" s="4">
        <v>5</v>
      </c>
      <c r="R4" s="5" t="s">
        <v>22</v>
      </c>
      <c r="S4" s="4">
        <v>5</v>
      </c>
      <c r="T4" s="4">
        <v>5</v>
      </c>
      <c r="U4" s="4">
        <v>5</v>
      </c>
      <c r="V4" s="5" t="s">
        <v>23</v>
      </c>
      <c r="W4" s="4">
        <v>5</v>
      </c>
      <c r="X4" s="4">
        <v>5</v>
      </c>
      <c r="Y4" s="4">
        <v>5</v>
      </c>
      <c r="Z4" s="4">
        <v>5</v>
      </c>
      <c r="AA4" s="4">
        <v>5</v>
      </c>
      <c r="AB4" s="4">
        <v>5</v>
      </c>
      <c r="AC4" s="4">
        <v>5</v>
      </c>
      <c r="AD4" s="5" t="s">
        <v>24</v>
      </c>
      <c r="AE4" s="4">
        <v>3</v>
      </c>
      <c r="AF4" s="5" t="s">
        <v>25</v>
      </c>
      <c r="AG4" s="4">
        <v>5</v>
      </c>
      <c r="AH4" s="4">
        <v>5</v>
      </c>
      <c r="AI4" s="4">
        <v>5</v>
      </c>
      <c r="AJ4" s="4">
        <v>5</v>
      </c>
      <c r="AK4" s="4">
        <v>5</v>
      </c>
      <c r="AL4" s="5" t="s">
        <v>26</v>
      </c>
    </row>
    <row r="5" spans="1:38" ht="409.6" x14ac:dyDescent="0.15">
      <c r="A5" s="3">
        <v>45971.561985208333</v>
      </c>
      <c r="B5" s="3" t="s">
        <v>106</v>
      </c>
      <c r="C5" s="4" t="s">
        <v>16</v>
      </c>
      <c r="D5" s="4" t="s">
        <v>17</v>
      </c>
      <c r="E5" s="4" t="s">
        <v>17</v>
      </c>
      <c r="F5" s="4" t="s">
        <v>18</v>
      </c>
      <c r="G5" s="4" t="s">
        <v>156</v>
      </c>
      <c r="I5" s="4">
        <v>5</v>
      </c>
      <c r="J5" s="4" t="s">
        <v>27</v>
      </c>
      <c r="K5" s="4">
        <v>5</v>
      </c>
      <c r="L5" s="5" t="s">
        <v>28</v>
      </c>
      <c r="M5" s="4">
        <v>4</v>
      </c>
      <c r="N5" s="5" t="s">
        <v>29</v>
      </c>
      <c r="O5" s="4">
        <v>4</v>
      </c>
      <c r="P5" s="4">
        <v>4</v>
      </c>
      <c r="Q5" s="4">
        <v>4</v>
      </c>
      <c r="R5" s="5" t="s">
        <v>30</v>
      </c>
      <c r="S5" s="4">
        <v>5</v>
      </c>
      <c r="T5" s="4">
        <v>5</v>
      </c>
      <c r="U5" s="4">
        <v>5</v>
      </c>
      <c r="V5" s="5" t="s">
        <v>31</v>
      </c>
      <c r="W5" s="4">
        <v>5</v>
      </c>
      <c r="X5" s="4">
        <v>4</v>
      </c>
      <c r="Y5" s="4">
        <v>5</v>
      </c>
      <c r="Z5" s="4">
        <v>4</v>
      </c>
      <c r="AA5" s="4">
        <v>5</v>
      </c>
      <c r="AB5" s="4">
        <v>5</v>
      </c>
      <c r="AC5" s="4">
        <v>5</v>
      </c>
      <c r="AD5" s="5" t="s">
        <v>32</v>
      </c>
      <c r="AE5" s="4">
        <v>3</v>
      </c>
      <c r="AF5" s="5" t="s">
        <v>33</v>
      </c>
      <c r="AG5" s="4">
        <v>4</v>
      </c>
      <c r="AH5" s="4">
        <v>4</v>
      </c>
      <c r="AI5" s="4">
        <v>5</v>
      </c>
      <c r="AJ5" s="4">
        <v>5</v>
      </c>
      <c r="AK5" s="4">
        <v>5</v>
      </c>
      <c r="AL5" s="5" t="s">
        <v>34</v>
      </c>
    </row>
    <row r="6" spans="1:38" ht="126" x14ac:dyDescent="0.15">
      <c r="A6" s="3">
        <v>45978.406877465277</v>
      </c>
      <c r="B6" s="3" t="s">
        <v>107</v>
      </c>
      <c r="C6" s="4" t="s">
        <v>16</v>
      </c>
      <c r="D6" s="4" t="s">
        <v>10</v>
      </c>
      <c r="E6" s="4" t="s">
        <v>10</v>
      </c>
      <c r="F6" s="4" t="s">
        <v>18</v>
      </c>
      <c r="G6" s="4" t="s">
        <v>156</v>
      </c>
      <c r="I6" s="4">
        <v>3</v>
      </c>
      <c r="J6" s="4" t="s">
        <v>35</v>
      </c>
      <c r="K6" s="4">
        <v>5</v>
      </c>
      <c r="M6" s="4">
        <v>4</v>
      </c>
      <c r="O6" s="4">
        <v>5</v>
      </c>
      <c r="P6" s="4">
        <v>3</v>
      </c>
      <c r="Q6" s="4">
        <v>3</v>
      </c>
      <c r="R6" s="4" t="s">
        <v>36</v>
      </c>
      <c r="S6" s="4">
        <v>5</v>
      </c>
      <c r="T6" s="4">
        <v>5</v>
      </c>
      <c r="U6" s="4">
        <v>5</v>
      </c>
      <c r="W6" s="4">
        <v>4</v>
      </c>
      <c r="X6" s="4">
        <v>5</v>
      </c>
      <c r="Y6" s="4">
        <v>5</v>
      </c>
      <c r="Z6" s="4">
        <v>5</v>
      </c>
      <c r="AA6" s="4">
        <v>4</v>
      </c>
      <c r="AB6" s="4">
        <v>3</v>
      </c>
      <c r="AC6" s="4">
        <v>5</v>
      </c>
      <c r="AD6" s="4" t="s">
        <v>37</v>
      </c>
      <c r="AE6" s="4">
        <v>5</v>
      </c>
      <c r="AF6" s="5" t="s">
        <v>38</v>
      </c>
      <c r="AG6" s="4">
        <v>5</v>
      </c>
      <c r="AH6" s="4">
        <v>4</v>
      </c>
      <c r="AI6" s="4">
        <v>4</v>
      </c>
      <c r="AJ6" s="4">
        <v>5</v>
      </c>
      <c r="AK6" s="4">
        <v>5</v>
      </c>
    </row>
    <row r="7" spans="1:38" ht="14" x14ac:dyDescent="0.15">
      <c r="A7" s="3">
        <v>45980.494660706019</v>
      </c>
      <c r="B7" s="3" t="s">
        <v>108</v>
      </c>
      <c r="C7" s="4" t="s">
        <v>16</v>
      </c>
      <c r="D7" s="4" t="s">
        <v>10</v>
      </c>
      <c r="E7" s="4" t="s">
        <v>18</v>
      </c>
      <c r="F7" s="4" t="s">
        <v>18</v>
      </c>
      <c r="G7" s="4" t="s">
        <v>156</v>
      </c>
      <c r="I7" s="4">
        <v>4</v>
      </c>
      <c r="J7" s="5" t="s">
        <v>39</v>
      </c>
      <c r="K7" s="4">
        <v>5</v>
      </c>
      <c r="M7" s="4">
        <v>5</v>
      </c>
      <c r="O7" s="4">
        <v>5</v>
      </c>
      <c r="P7" s="4">
        <v>4</v>
      </c>
      <c r="Q7" s="4">
        <v>4</v>
      </c>
      <c r="S7" s="4">
        <v>4</v>
      </c>
      <c r="T7" s="4">
        <v>4</v>
      </c>
      <c r="U7" s="4">
        <v>5</v>
      </c>
      <c r="W7" s="4">
        <v>5</v>
      </c>
      <c r="X7" s="4">
        <v>5</v>
      </c>
      <c r="Y7" s="4">
        <v>4</v>
      </c>
      <c r="Z7" s="4">
        <v>5</v>
      </c>
      <c r="AA7" s="4">
        <v>5</v>
      </c>
      <c r="AB7" s="4">
        <v>5</v>
      </c>
      <c r="AC7" s="4">
        <v>5</v>
      </c>
      <c r="AE7" s="4">
        <v>4</v>
      </c>
      <c r="AG7" s="4">
        <v>5</v>
      </c>
      <c r="AH7" s="4">
        <v>5</v>
      </c>
      <c r="AI7" s="4">
        <v>4</v>
      </c>
      <c r="AJ7" s="4">
        <v>5</v>
      </c>
      <c r="AK7" s="4">
        <v>5</v>
      </c>
    </row>
    <row r="8" spans="1:38" ht="14" x14ac:dyDescent="0.15">
      <c r="A8" s="3">
        <v>45991.355830671295</v>
      </c>
      <c r="B8" s="3" t="s">
        <v>109</v>
      </c>
      <c r="C8" s="4" t="s">
        <v>40</v>
      </c>
      <c r="D8" s="4" t="s">
        <v>18</v>
      </c>
      <c r="E8" s="4" t="s">
        <v>18</v>
      </c>
      <c r="F8" s="4" t="s">
        <v>10</v>
      </c>
      <c r="G8" s="4" t="s">
        <v>156</v>
      </c>
      <c r="I8" s="4">
        <v>3</v>
      </c>
      <c r="K8" s="4">
        <v>3</v>
      </c>
      <c r="M8" s="4">
        <v>4</v>
      </c>
      <c r="O8" s="4">
        <v>4</v>
      </c>
      <c r="P8" s="4">
        <v>3</v>
      </c>
      <c r="Q8" s="4">
        <v>5</v>
      </c>
      <c r="S8" s="4">
        <v>4</v>
      </c>
      <c r="T8" s="4">
        <v>5</v>
      </c>
      <c r="U8" s="4">
        <v>5</v>
      </c>
      <c r="W8" s="4">
        <v>5</v>
      </c>
      <c r="X8" s="4">
        <v>3</v>
      </c>
      <c r="Y8" s="4">
        <v>5</v>
      </c>
      <c r="Z8" s="4">
        <v>3</v>
      </c>
      <c r="AA8" s="4">
        <v>3</v>
      </c>
      <c r="AB8" s="4">
        <v>5</v>
      </c>
      <c r="AC8" s="4">
        <v>5</v>
      </c>
      <c r="AE8" s="4">
        <v>4</v>
      </c>
      <c r="AG8" s="4">
        <v>3</v>
      </c>
      <c r="AH8" s="4">
        <v>4</v>
      </c>
      <c r="AI8" s="4">
        <v>2</v>
      </c>
      <c r="AJ8" s="4">
        <v>4</v>
      </c>
      <c r="AK8" s="4">
        <v>5</v>
      </c>
    </row>
    <row r="9" spans="1:38" s="7" customFormat="1" ht="14" x14ac:dyDescent="0.15">
      <c r="C9" s="7" t="s">
        <v>74</v>
      </c>
      <c r="D9" s="7" t="s">
        <v>75</v>
      </c>
      <c r="E9" s="7" t="s">
        <v>76</v>
      </c>
      <c r="F9" s="7" t="s">
        <v>77</v>
      </c>
      <c r="G9" s="7" t="s">
        <v>78</v>
      </c>
      <c r="H9" s="7" t="s">
        <v>79</v>
      </c>
      <c r="I9" s="7" t="s">
        <v>80</v>
      </c>
      <c r="K9" s="7" t="s">
        <v>81</v>
      </c>
      <c r="M9" s="7" t="s">
        <v>82</v>
      </c>
      <c r="O9" s="7" t="s">
        <v>83</v>
      </c>
      <c r="P9" s="7" t="s">
        <v>84</v>
      </c>
      <c r="Q9" s="7" t="s">
        <v>85</v>
      </c>
      <c r="S9" s="7" t="s">
        <v>86</v>
      </c>
      <c r="T9" s="7" t="s">
        <v>87</v>
      </c>
      <c r="U9" s="7" t="s">
        <v>88</v>
      </c>
      <c r="W9" s="7" t="s">
        <v>89</v>
      </c>
      <c r="X9" s="7" t="s">
        <v>90</v>
      </c>
      <c r="Y9" s="7" t="s">
        <v>91</v>
      </c>
      <c r="Z9" s="7" t="s">
        <v>92</v>
      </c>
      <c r="AA9" s="7" t="s">
        <v>93</v>
      </c>
      <c r="AB9" s="7" t="s">
        <v>94</v>
      </c>
      <c r="AC9" s="7" t="s">
        <v>95</v>
      </c>
      <c r="AE9" s="7" t="s">
        <v>96</v>
      </c>
      <c r="AG9" s="7" t="s">
        <v>97</v>
      </c>
      <c r="AH9" s="7" t="s">
        <v>98</v>
      </c>
      <c r="AI9" s="7" t="s">
        <v>99</v>
      </c>
      <c r="AJ9" s="7" t="s">
        <v>100</v>
      </c>
      <c r="AK9" s="7" t="s">
        <v>101</v>
      </c>
    </row>
  </sheetData>
  <mergeCells count="8">
    <mergeCell ref="AE1:AF1"/>
    <mergeCell ref="AG1:AL1"/>
    <mergeCell ref="I1:J1"/>
    <mergeCell ref="K1:L1"/>
    <mergeCell ref="W1:AD1"/>
    <mergeCell ref="S1:V1"/>
    <mergeCell ref="O1:R1"/>
    <mergeCell ref="M1:N1"/>
  </mergeCells>
  <conditionalFormatting sqref="A1:AL8">
    <cfRule type="cellIs" dxfId="1" priority="1" operator="between">
      <formula>2</formula>
      <formula>3</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9"/>
  <sheetViews>
    <sheetView topLeftCell="C1" workbookViewId="0">
      <selection activeCell="F6" sqref="F6:I6"/>
    </sheetView>
  </sheetViews>
  <sheetFormatPr baseColWidth="10" defaultColWidth="49.83203125" defaultRowHeight="13" x14ac:dyDescent="0.15"/>
  <cols>
    <col min="1" max="1" width="22.5" style="8" bestFit="1" customWidth="1"/>
    <col min="2" max="2" width="13.33203125" style="25" bestFit="1" customWidth="1"/>
    <col min="3" max="3" width="60.33203125" style="26" customWidth="1"/>
    <col min="4" max="4" width="22.1640625" style="11" bestFit="1" customWidth="1"/>
    <col min="5" max="8" width="29.83203125" style="11" bestFit="1" customWidth="1"/>
    <col min="9" max="9" width="28" style="27" bestFit="1" customWidth="1"/>
    <col min="10" max="10" width="8.1640625" style="27" bestFit="1" customWidth="1"/>
    <col min="11" max="11" width="13.1640625" style="28" bestFit="1" customWidth="1"/>
    <col min="12" max="12" width="6.6640625" style="27" bestFit="1" customWidth="1"/>
    <col min="13" max="13" width="7" style="11" bestFit="1" customWidth="1"/>
    <col min="14" max="16384" width="49.83203125" style="11"/>
  </cols>
  <sheetData>
    <row r="1" spans="1:13" ht="14" x14ac:dyDescent="0.15">
      <c r="A1" s="12" t="s">
        <v>114</v>
      </c>
      <c r="B1" s="12" t="s">
        <v>115</v>
      </c>
      <c r="C1" s="13" t="s">
        <v>116</v>
      </c>
      <c r="D1" s="12" t="s">
        <v>117</v>
      </c>
      <c r="E1" s="12" t="s">
        <v>118</v>
      </c>
      <c r="F1" s="12" t="s">
        <v>119</v>
      </c>
      <c r="G1" s="12" t="s">
        <v>120</v>
      </c>
      <c r="H1" s="12" t="s">
        <v>121</v>
      </c>
      <c r="I1" s="12" t="s">
        <v>122</v>
      </c>
      <c r="J1" s="12" t="s">
        <v>123</v>
      </c>
      <c r="K1" s="12" t="s">
        <v>124</v>
      </c>
      <c r="L1" s="12" t="s">
        <v>125</v>
      </c>
      <c r="M1" s="12" t="s">
        <v>126</v>
      </c>
    </row>
    <row r="2" spans="1:13" ht="14" x14ac:dyDescent="0.15">
      <c r="A2" s="31" t="s">
        <v>127</v>
      </c>
      <c r="B2" s="14" t="s">
        <v>74</v>
      </c>
      <c r="C2" s="15" t="s">
        <v>1</v>
      </c>
      <c r="D2" s="14" t="s">
        <v>9</v>
      </c>
      <c r="E2" s="14" t="s">
        <v>16</v>
      </c>
      <c r="F2" s="14" t="s">
        <v>16</v>
      </c>
      <c r="G2" s="14" t="s">
        <v>16</v>
      </c>
      <c r="H2" s="14" t="s">
        <v>16</v>
      </c>
      <c r="I2" s="14" t="s">
        <v>40</v>
      </c>
      <c r="J2" s="16"/>
      <c r="K2" s="17"/>
      <c r="L2" s="16"/>
      <c r="M2" s="16"/>
    </row>
    <row r="3" spans="1:13" ht="14" x14ac:dyDescent="0.15">
      <c r="A3" s="32"/>
      <c r="B3" s="14" t="s">
        <v>75</v>
      </c>
      <c r="C3" s="15" t="s">
        <v>2</v>
      </c>
      <c r="D3" s="14" t="s">
        <v>10</v>
      </c>
      <c r="E3" s="14" t="s">
        <v>17</v>
      </c>
      <c r="F3" s="14" t="s">
        <v>17</v>
      </c>
      <c r="G3" s="14" t="s">
        <v>10</v>
      </c>
      <c r="H3" s="14" t="s">
        <v>10</v>
      </c>
      <c r="I3" s="14" t="s">
        <v>18</v>
      </c>
      <c r="J3" s="16">
        <f>AVERAGE(VLOOKUP(D3,[1]Values!$A$2:$B$4,2,0),VLOOKUP(E3,[1]Values!$A$2:$B$4,2,0),VLOOKUP(F3,[1]Values!$A$2:$B$4,2,0),VLOOKUP(G3,[1]Values!$A$2:$B$4,2,0),VLOOKUP(H3,[1]Values!$A$2:$B$4,2,0),VLOOKUP(I3,[1]Values!$A$2:$B$4,2,0))</f>
        <v>7.5</v>
      </c>
      <c r="K3" s="17"/>
      <c r="L3" s="16">
        <f>STDEV(VLOOKUP(D3,[1]Values!$A$2:$B$4,2,0),VLOOKUP(E3,[1]Values!$A$2:$B$4,2,0),VLOOKUP(F3,[1]Values!$A$2:$B$4,2,0),VLOOKUP(G3,[1]Values!$A$2:$B$4,2,0),VLOOKUP(H3,[1]Values!$A$2:$B$4,2,0),VLOOKUP(I3,[1]Values!$A$2:$B$4,2,0))</f>
        <v>6.6858058601787116</v>
      </c>
      <c r="M3" s="16"/>
    </row>
    <row r="4" spans="1:13" ht="14" x14ac:dyDescent="0.15">
      <c r="A4" s="32"/>
      <c r="B4" s="14" t="s">
        <v>76</v>
      </c>
      <c r="C4" s="15" t="s">
        <v>3</v>
      </c>
      <c r="D4" s="14" t="s">
        <v>10</v>
      </c>
      <c r="E4" s="14" t="s">
        <v>17</v>
      </c>
      <c r="F4" s="14" t="s">
        <v>17</v>
      </c>
      <c r="G4" s="14" t="s">
        <v>10</v>
      </c>
      <c r="H4" s="14" t="s">
        <v>18</v>
      </c>
      <c r="I4" s="14" t="s">
        <v>18</v>
      </c>
      <c r="J4" s="16">
        <f>AVERAGE(VLOOKUP(D4,[1]Values!$A$2:$B$4,2,0),VLOOKUP(E4,[1]Values!$A$2:$B$4,2,0),VLOOKUP(F4,[1]Values!$A$2:$B$4,2,0),VLOOKUP(G4,[1]Values!$A$2:$B$4,2,0),VLOOKUP(H4,[1]Values!$A$2:$B$4,2,0),VLOOKUP(I4,[1]Values!$A$2:$B$4,2,0))</f>
        <v>7</v>
      </c>
      <c r="K4" s="17"/>
      <c r="L4" s="16">
        <f>STDEV(VLOOKUP(D4,[1]Values!$A$2:$B$4,2,0),VLOOKUP(E4,[1]Values!$A$2:$B$4,2,0),VLOOKUP(F4,[1]Values!$A$2:$B$4,2,0),VLOOKUP(G4,[1]Values!$A$2:$B$4,2,0),VLOOKUP(H4,[1]Values!$A$2:$B$4,2,0),VLOOKUP(I4,[1]Values!$A$2:$B$4,2,0))</f>
        <v>7.0992957397195395</v>
      </c>
      <c r="M4" s="16"/>
    </row>
    <row r="5" spans="1:13" ht="14" x14ac:dyDescent="0.15">
      <c r="A5" s="32"/>
      <c r="B5" s="14" t="s">
        <v>77</v>
      </c>
      <c r="C5" s="15" t="s">
        <v>4</v>
      </c>
      <c r="D5" s="14" t="s">
        <v>10</v>
      </c>
      <c r="E5" s="14" t="s">
        <v>18</v>
      </c>
      <c r="F5" s="14" t="s">
        <v>18</v>
      </c>
      <c r="G5" s="14" t="s">
        <v>18</v>
      </c>
      <c r="H5" s="14" t="s">
        <v>18</v>
      </c>
      <c r="I5" s="14" t="s">
        <v>10</v>
      </c>
      <c r="J5" s="16">
        <f>AVERAGE(VLOOKUP(D5,[1]Values!$A$2:$B$4,2,0),VLOOKUP(E5,[1]Values!$A$2:$B$4,2,0),VLOOKUP(F5,[1]Values!$A$2:$B$4,2,0),VLOOKUP(G5,[1]Values!$A$2:$B$4,2,0),VLOOKUP(H5,[1]Values!$A$2:$B$4,2,0),VLOOKUP(I5,[1]Values!$A$2:$B$4,2,0))</f>
        <v>2</v>
      </c>
      <c r="K5" s="17"/>
      <c r="L5" s="16">
        <f>STDEV(VLOOKUP(D5,[1]Values!$A$2:$B$4,2,0),VLOOKUP(E5,[1]Values!$A$2:$B$4,2,0),VLOOKUP(F5,[1]Values!$A$2:$B$4,2,0),VLOOKUP(G5,[1]Values!$A$2:$B$4,2,0),VLOOKUP(H5,[1]Values!$A$2:$B$4,2,0),VLOOKUP(I5,[1]Values!$A$2:$B$4,2,0))</f>
        <v>1.5491933384829668</v>
      </c>
      <c r="M5" s="16"/>
    </row>
    <row r="6" spans="1:13" ht="28" x14ac:dyDescent="0.15">
      <c r="A6" s="32"/>
      <c r="B6" s="14" t="s">
        <v>78</v>
      </c>
      <c r="C6" s="15" t="s">
        <v>5</v>
      </c>
      <c r="D6" s="14" t="s">
        <v>11</v>
      </c>
      <c r="E6" s="50" t="s">
        <v>156</v>
      </c>
      <c r="F6" s="50" t="s">
        <v>156</v>
      </c>
      <c r="G6" s="50" t="s">
        <v>156</v>
      </c>
      <c r="H6" s="50" t="s">
        <v>156</v>
      </c>
      <c r="I6" s="50" t="s">
        <v>156</v>
      </c>
      <c r="J6" s="16"/>
      <c r="K6" s="17"/>
      <c r="L6" s="16"/>
      <c r="M6" s="16"/>
    </row>
    <row r="7" spans="1:13" ht="28" x14ac:dyDescent="0.15">
      <c r="A7" s="33"/>
      <c r="B7" s="14" t="s">
        <v>79</v>
      </c>
      <c r="C7" s="15" t="s">
        <v>128</v>
      </c>
      <c r="D7" s="14" t="s">
        <v>12</v>
      </c>
      <c r="E7" s="14"/>
      <c r="F7" s="14"/>
      <c r="G7" s="14"/>
      <c r="H7" s="14"/>
      <c r="I7" s="14"/>
      <c r="J7" s="16"/>
      <c r="K7" s="17"/>
      <c r="L7" s="16"/>
      <c r="M7" s="16"/>
    </row>
    <row r="8" spans="1:13" ht="42" x14ac:dyDescent="0.15">
      <c r="A8" s="18" t="s">
        <v>129</v>
      </c>
      <c r="B8" s="19" t="s">
        <v>80</v>
      </c>
      <c r="C8" s="20" t="s">
        <v>6</v>
      </c>
      <c r="D8" s="19">
        <v>4</v>
      </c>
      <c r="E8" s="19">
        <v>5</v>
      </c>
      <c r="F8" s="19">
        <v>5</v>
      </c>
      <c r="G8" s="19">
        <v>3</v>
      </c>
      <c r="H8" s="19">
        <v>4</v>
      </c>
      <c r="I8" s="19">
        <v>3</v>
      </c>
      <c r="J8" s="21">
        <f t="shared" ref="J8:J29" si="0">AVERAGE(D8:I8)</f>
        <v>4</v>
      </c>
      <c r="K8" s="49">
        <f>AVERAGE(J8:J9)</f>
        <v>4.25</v>
      </c>
      <c r="L8" s="21">
        <f>STDEV(D8:I8)</f>
        <v>0.89442719099991586</v>
      </c>
      <c r="M8" s="21">
        <f>QUARTILE(E8:J8,3)-QUARTILE(E8:J8,1)</f>
        <v>1.5</v>
      </c>
    </row>
    <row r="9" spans="1:13" ht="42" x14ac:dyDescent="0.15">
      <c r="A9" s="23" t="s">
        <v>130</v>
      </c>
      <c r="B9" s="14" t="s">
        <v>81</v>
      </c>
      <c r="C9" s="15" t="s">
        <v>131</v>
      </c>
      <c r="D9" s="14">
        <v>4</v>
      </c>
      <c r="E9" s="14">
        <v>5</v>
      </c>
      <c r="F9" s="14">
        <v>5</v>
      </c>
      <c r="G9" s="14">
        <v>5</v>
      </c>
      <c r="H9" s="14">
        <v>5</v>
      </c>
      <c r="I9" s="14">
        <v>3</v>
      </c>
      <c r="J9" s="16">
        <f t="shared" si="0"/>
        <v>4.5</v>
      </c>
      <c r="K9" s="49"/>
      <c r="L9" s="16">
        <f>STDEV(D9:I9)</f>
        <v>0.83666002653407556</v>
      </c>
      <c r="M9" s="16">
        <f>QUARTILE(E9:J9,3)-QUARTILE(E9:J9,1)</f>
        <v>0.375</v>
      </c>
    </row>
    <row r="10" spans="1:13" ht="28" x14ac:dyDescent="0.15">
      <c r="A10" s="18" t="s">
        <v>132</v>
      </c>
      <c r="B10" s="19" t="s">
        <v>82</v>
      </c>
      <c r="C10" s="20" t="s">
        <v>133</v>
      </c>
      <c r="D10" s="19">
        <v>4</v>
      </c>
      <c r="E10" s="19">
        <v>5</v>
      </c>
      <c r="F10" s="19">
        <v>4</v>
      </c>
      <c r="G10" s="19">
        <v>4</v>
      </c>
      <c r="H10" s="19">
        <v>5</v>
      </c>
      <c r="I10" s="19">
        <v>4</v>
      </c>
      <c r="J10" s="21">
        <f t="shared" si="0"/>
        <v>4.333333333333333</v>
      </c>
      <c r="K10" s="22">
        <f>AVERAGE(D10:I10)</f>
        <v>4.333333333333333</v>
      </c>
      <c r="L10" s="21">
        <f>STDEV(D10:I10)</f>
        <v>0.51639777949432131</v>
      </c>
      <c r="M10" s="21">
        <f>QUARTILE(E10:J10,3)-QUARTILE(E10:J10,1)</f>
        <v>0.83333333333333304</v>
      </c>
    </row>
    <row r="11" spans="1:13" ht="42" x14ac:dyDescent="0.15">
      <c r="A11" s="31" t="s">
        <v>134</v>
      </c>
      <c r="B11" s="14" t="s">
        <v>83</v>
      </c>
      <c r="C11" s="15" t="s">
        <v>135</v>
      </c>
      <c r="D11" s="14">
        <v>5</v>
      </c>
      <c r="E11" s="14">
        <v>5</v>
      </c>
      <c r="F11" s="14">
        <v>4</v>
      </c>
      <c r="G11" s="14">
        <v>5</v>
      </c>
      <c r="H11" s="14">
        <v>5</v>
      </c>
      <c r="I11" s="14">
        <v>4</v>
      </c>
      <c r="J11" s="16">
        <f t="shared" si="0"/>
        <v>4.666666666666667</v>
      </c>
      <c r="K11" s="34">
        <f>AVERAGE(J11:J13)</f>
        <v>4.2222222222222223</v>
      </c>
      <c r="L11" s="37">
        <f>STDEV(D11:I13)</f>
        <v>0.73208449814095855</v>
      </c>
      <c r="M11" s="37">
        <f>QUARTILE(E11:J13,3)-QUARTILE(E11:J13,1)</f>
        <v>1</v>
      </c>
    </row>
    <row r="12" spans="1:13" ht="42" x14ac:dyDescent="0.15">
      <c r="A12" s="32"/>
      <c r="B12" s="14" t="s">
        <v>84</v>
      </c>
      <c r="C12" s="15" t="s">
        <v>136</v>
      </c>
      <c r="D12" s="14">
        <v>4</v>
      </c>
      <c r="E12" s="14">
        <v>5</v>
      </c>
      <c r="F12" s="14">
        <v>4</v>
      </c>
      <c r="G12" s="14">
        <v>3</v>
      </c>
      <c r="H12" s="14">
        <v>4</v>
      </c>
      <c r="I12" s="14">
        <v>3</v>
      </c>
      <c r="J12" s="16">
        <f t="shared" si="0"/>
        <v>3.8333333333333335</v>
      </c>
      <c r="K12" s="35"/>
      <c r="L12" s="38"/>
      <c r="M12" s="38"/>
    </row>
    <row r="13" spans="1:13" ht="28" x14ac:dyDescent="0.15">
      <c r="A13" s="33"/>
      <c r="B13" s="14" t="s">
        <v>85</v>
      </c>
      <c r="C13" s="15" t="s">
        <v>137</v>
      </c>
      <c r="D13" s="14">
        <v>4</v>
      </c>
      <c r="E13" s="14">
        <v>5</v>
      </c>
      <c r="F13" s="14">
        <v>4</v>
      </c>
      <c r="G13" s="14">
        <v>3</v>
      </c>
      <c r="H13" s="14">
        <v>4</v>
      </c>
      <c r="I13" s="14">
        <v>5</v>
      </c>
      <c r="J13" s="16">
        <f t="shared" si="0"/>
        <v>4.166666666666667</v>
      </c>
      <c r="K13" s="36"/>
      <c r="L13" s="39"/>
      <c r="M13" s="39"/>
    </row>
    <row r="14" spans="1:13" ht="42" x14ac:dyDescent="0.15">
      <c r="A14" s="40" t="s">
        <v>138</v>
      </c>
      <c r="B14" s="19" t="s">
        <v>86</v>
      </c>
      <c r="C14" s="20" t="s">
        <v>139</v>
      </c>
      <c r="D14" s="19">
        <v>5</v>
      </c>
      <c r="E14" s="19">
        <v>5</v>
      </c>
      <c r="F14" s="19">
        <v>5</v>
      </c>
      <c r="G14" s="19">
        <v>5</v>
      </c>
      <c r="H14" s="19">
        <v>4</v>
      </c>
      <c r="I14" s="19">
        <v>4</v>
      </c>
      <c r="J14" s="21">
        <f t="shared" si="0"/>
        <v>4.666666666666667</v>
      </c>
      <c r="K14" s="43">
        <f>AVERAGE(J14:J16)</f>
        <v>4.7777777777777777</v>
      </c>
      <c r="L14" s="46">
        <f>STDEV(D14:I16)</f>
        <v>0.42779263194649864</v>
      </c>
      <c r="M14" s="46">
        <f>QUARTILE(E14:J16,3)-QUARTILE(E14:J16,1)</f>
        <v>0.16666666666666696</v>
      </c>
    </row>
    <row r="15" spans="1:13" ht="42" x14ac:dyDescent="0.15">
      <c r="A15" s="41"/>
      <c r="B15" s="19" t="s">
        <v>87</v>
      </c>
      <c r="C15" s="20" t="s">
        <v>140</v>
      </c>
      <c r="D15" s="19">
        <v>5</v>
      </c>
      <c r="E15" s="19">
        <v>5</v>
      </c>
      <c r="F15" s="19">
        <v>5</v>
      </c>
      <c r="G15" s="19">
        <v>5</v>
      </c>
      <c r="H15" s="19">
        <v>4</v>
      </c>
      <c r="I15" s="19">
        <v>5</v>
      </c>
      <c r="J15" s="21">
        <f t="shared" si="0"/>
        <v>4.833333333333333</v>
      </c>
      <c r="K15" s="44"/>
      <c r="L15" s="47"/>
      <c r="M15" s="47"/>
    </row>
    <row r="16" spans="1:13" ht="28" x14ac:dyDescent="0.15">
      <c r="A16" s="42"/>
      <c r="B16" s="19" t="s">
        <v>88</v>
      </c>
      <c r="C16" s="20" t="s">
        <v>141</v>
      </c>
      <c r="D16" s="19">
        <v>4</v>
      </c>
      <c r="E16" s="19">
        <v>5</v>
      </c>
      <c r="F16" s="19">
        <v>5</v>
      </c>
      <c r="G16" s="19">
        <v>5</v>
      </c>
      <c r="H16" s="19">
        <v>5</v>
      </c>
      <c r="I16" s="19">
        <v>5</v>
      </c>
      <c r="J16" s="21">
        <f t="shared" si="0"/>
        <v>4.833333333333333</v>
      </c>
      <c r="K16" s="45"/>
      <c r="L16" s="48"/>
      <c r="M16" s="48"/>
    </row>
    <row r="17" spans="1:13" ht="42" x14ac:dyDescent="0.15">
      <c r="A17" s="31" t="s">
        <v>142</v>
      </c>
      <c r="B17" s="14" t="s">
        <v>89</v>
      </c>
      <c r="C17" s="15" t="s">
        <v>143</v>
      </c>
      <c r="D17" s="14">
        <v>4</v>
      </c>
      <c r="E17" s="14">
        <v>5</v>
      </c>
      <c r="F17" s="14">
        <v>5</v>
      </c>
      <c r="G17" s="14">
        <v>4</v>
      </c>
      <c r="H17" s="14">
        <v>5</v>
      </c>
      <c r="I17" s="14">
        <v>5</v>
      </c>
      <c r="J17" s="16">
        <f t="shared" si="0"/>
        <v>4.666666666666667</v>
      </c>
      <c r="K17" s="34">
        <f>AVERAGE(J17:J23)</f>
        <v>4.4761904761904763</v>
      </c>
      <c r="L17" s="37">
        <f>STDEV(D17:I23)</f>
        <v>0.74040513755103221</v>
      </c>
      <c r="M17" s="37">
        <f>QUARTILE(E17:J23,3)-QUARTILE(E17:J23,1)</f>
        <v>0.66666666666666696</v>
      </c>
    </row>
    <row r="18" spans="1:13" ht="42" x14ac:dyDescent="0.15">
      <c r="A18" s="32"/>
      <c r="B18" s="14" t="s">
        <v>90</v>
      </c>
      <c r="C18" s="15" t="s">
        <v>144</v>
      </c>
      <c r="D18" s="14">
        <v>4</v>
      </c>
      <c r="E18" s="14">
        <v>5</v>
      </c>
      <c r="F18" s="14">
        <v>4</v>
      </c>
      <c r="G18" s="14">
        <v>5</v>
      </c>
      <c r="H18" s="14">
        <v>5</v>
      </c>
      <c r="I18" s="14">
        <v>3</v>
      </c>
      <c r="J18" s="16">
        <f t="shared" si="0"/>
        <v>4.333333333333333</v>
      </c>
      <c r="K18" s="35"/>
      <c r="L18" s="38"/>
      <c r="M18" s="38"/>
    </row>
    <row r="19" spans="1:13" ht="28" x14ac:dyDescent="0.15">
      <c r="A19" s="32"/>
      <c r="B19" s="14" t="s">
        <v>91</v>
      </c>
      <c r="C19" s="15" t="s">
        <v>145</v>
      </c>
      <c r="D19" s="14">
        <v>4</v>
      </c>
      <c r="E19" s="14">
        <v>5</v>
      </c>
      <c r="F19" s="14">
        <v>5</v>
      </c>
      <c r="G19" s="14">
        <v>5</v>
      </c>
      <c r="H19" s="14">
        <v>4</v>
      </c>
      <c r="I19" s="14">
        <v>5</v>
      </c>
      <c r="J19" s="16">
        <f t="shared" si="0"/>
        <v>4.666666666666667</v>
      </c>
      <c r="K19" s="35"/>
      <c r="L19" s="38"/>
      <c r="M19" s="38"/>
    </row>
    <row r="20" spans="1:13" ht="28" x14ac:dyDescent="0.15">
      <c r="A20" s="32"/>
      <c r="B20" s="14" t="s">
        <v>92</v>
      </c>
      <c r="C20" s="15" t="s">
        <v>146</v>
      </c>
      <c r="D20" s="14">
        <v>4</v>
      </c>
      <c r="E20" s="14">
        <v>5</v>
      </c>
      <c r="F20" s="14">
        <v>4</v>
      </c>
      <c r="G20" s="14">
        <v>5</v>
      </c>
      <c r="H20" s="14">
        <v>5</v>
      </c>
      <c r="I20" s="14">
        <v>3</v>
      </c>
      <c r="J20" s="16">
        <f t="shared" si="0"/>
        <v>4.333333333333333</v>
      </c>
      <c r="K20" s="35"/>
      <c r="L20" s="38"/>
      <c r="M20" s="38"/>
    </row>
    <row r="21" spans="1:13" ht="70" x14ac:dyDescent="0.15">
      <c r="A21" s="32"/>
      <c r="B21" s="14" t="s">
        <v>93</v>
      </c>
      <c r="C21" s="15" t="s">
        <v>102</v>
      </c>
      <c r="D21" s="14">
        <v>4</v>
      </c>
      <c r="E21" s="14">
        <v>5</v>
      </c>
      <c r="F21" s="14">
        <v>5</v>
      </c>
      <c r="G21" s="14">
        <v>4</v>
      </c>
      <c r="H21" s="14">
        <v>5</v>
      </c>
      <c r="I21" s="14">
        <v>3</v>
      </c>
      <c r="J21" s="16">
        <f t="shared" si="0"/>
        <v>4.333333333333333</v>
      </c>
      <c r="K21" s="35"/>
      <c r="L21" s="38"/>
      <c r="M21" s="38"/>
    </row>
    <row r="22" spans="1:13" ht="42" x14ac:dyDescent="0.15">
      <c r="A22" s="32"/>
      <c r="B22" s="14" t="s">
        <v>94</v>
      </c>
      <c r="C22" s="15" t="s">
        <v>147</v>
      </c>
      <c r="D22" s="14">
        <v>3</v>
      </c>
      <c r="E22" s="14">
        <v>5</v>
      </c>
      <c r="F22" s="14">
        <v>5</v>
      </c>
      <c r="G22" s="14">
        <v>3</v>
      </c>
      <c r="H22" s="14">
        <v>5</v>
      </c>
      <c r="I22" s="14">
        <v>5</v>
      </c>
      <c r="J22" s="16">
        <f t="shared" si="0"/>
        <v>4.333333333333333</v>
      </c>
      <c r="K22" s="35"/>
      <c r="L22" s="38"/>
      <c r="M22" s="38"/>
    </row>
    <row r="23" spans="1:13" ht="28" x14ac:dyDescent="0.15">
      <c r="A23" s="33"/>
      <c r="B23" s="14" t="s">
        <v>95</v>
      </c>
      <c r="C23" s="15" t="s">
        <v>148</v>
      </c>
      <c r="D23" s="14">
        <v>3</v>
      </c>
      <c r="E23" s="14">
        <v>5</v>
      </c>
      <c r="F23" s="14">
        <v>5</v>
      </c>
      <c r="G23" s="14">
        <v>5</v>
      </c>
      <c r="H23" s="14">
        <v>5</v>
      </c>
      <c r="I23" s="14">
        <v>5</v>
      </c>
      <c r="J23" s="16">
        <f t="shared" si="0"/>
        <v>4.666666666666667</v>
      </c>
      <c r="K23" s="36"/>
      <c r="L23" s="39"/>
      <c r="M23" s="39"/>
    </row>
    <row r="24" spans="1:13" ht="56" x14ac:dyDescent="0.15">
      <c r="A24" s="24" t="s">
        <v>149</v>
      </c>
      <c r="B24" s="19" t="s">
        <v>96</v>
      </c>
      <c r="C24" s="20" t="s">
        <v>150</v>
      </c>
      <c r="D24" s="19">
        <v>5</v>
      </c>
      <c r="E24" s="19">
        <v>3</v>
      </c>
      <c r="F24" s="19">
        <v>3</v>
      </c>
      <c r="G24" s="19">
        <v>5</v>
      </c>
      <c r="H24" s="19">
        <v>4</v>
      </c>
      <c r="I24" s="19">
        <v>4</v>
      </c>
      <c r="J24" s="21">
        <f t="shared" si="0"/>
        <v>4</v>
      </c>
      <c r="K24" s="22">
        <f>AVERAGE(D24:I24)</f>
        <v>4</v>
      </c>
      <c r="L24" s="21">
        <f>STDEV(D24:I24)</f>
        <v>0.89442719099991586</v>
      </c>
      <c r="M24" s="21">
        <f>QUARTILE(E24:J24,3)-QUARTILE(E24:J24,1)</f>
        <v>0.75</v>
      </c>
    </row>
    <row r="25" spans="1:13" ht="28" x14ac:dyDescent="0.15">
      <c r="A25" s="31" t="s">
        <v>47</v>
      </c>
      <c r="B25" s="14" t="s">
        <v>97</v>
      </c>
      <c r="C25" s="15" t="s">
        <v>151</v>
      </c>
      <c r="D25" s="14">
        <v>4</v>
      </c>
      <c r="E25" s="14">
        <v>5</v>
      </c>
      <c r="F25" s="14">
        <v>4</v>
      </c>
      <c r="G25" s="14">
        <v>5</v>
      </c>
      <c r="H25" s="14">
        <v>5</v>
      </c>
      <c r="I25" s="14">
        <v>3</v>
      </c>
      <c r="J25" s="16">
        <f t="shared" si="0"/>
        <v>4.333333333333333</v>
      </c>
      <c r="K25" s="34">
        <f>AVERAGE(J25:J29)</f>
        <v>4.5333333333333332</v>
      </c>
      <c r="L25" s="37">
        <f>STDEV(D25:I29)</f>
        <v>0.73029674334022221</v>
      </c>
      <c r="M25" s="37">
        <f>QUARTILE(E25:J29,3)-QUARTILE(E25:J29,1)</f>
        <v>1</v>
      </c>
    </row>
    <row r="26" spans="1:13" ht="28" x14ac:dyDescent="0.15">
      <c r="A26" s="32"/>
      <c r="B26" s="14" t="s">
        <v>98</v>
      </c>
      <c r="C26" s="15" t="s">
        <v>152</v>
      </c>
      <c r="D26" s="14">
        <v>4</v>
      </c>
      <c r="E26" s="14">
        <v>5</v>
      </c>
      <c r="F26" s="14">
        <v>4</v>
      </c>
      <c r="G26" s="14">
        <v>4</v>
      </c>
      <c r="H26" s="14">
        <v>5</v>
      </c>
      <c r="I26" s="14">
        <v>4</v>
      </c>
      <c r="J26" s="16">
        <f t="shared" si="0"/>
        <v>4.333333333333333</v>
      </c>
      <c r="K26" s="35"/>
      <c r="L26" s="38"/>
      <c r="M26" s="38"/>
    </row>
    <row r="27" spans="1:13" ht="28" x14ac:dyDescent="0.15">
      <c r="A27" s="32"/>
      <c r="B27" s="14" t="s">
        <v>99</v>
      </c>
      <c r="C27" s="15" t="s">
        <v>153</v>
      </c>
      <c r="D27" s="14">
        <v>5</v>
      </c>
      <c r="E27" s="14">
        <v>5</v>
      </c>
      <c r="F27" s="14">
        <v>5</v>
      </c>
      <c r="G27" s="14">
        <v>5</v>
      </c>
      <c r="H27" s="14">
        <v>5</v>
      </c>
      <c r="I27" s="14">
        <v>4</v>
      </c>
      <c r="J27" s="16">
        <f t="shared" si="0"/>
        <v>4.833333333333333</v>
      </c>
      <c r="K27" s="35"/>
      <c r="L27" s="38"/>
      <c r="M27" s="38"/>
    </row>
    <row r="28" spans="1:13" ht="28" x14ac:dyDescent="0.15">
      <c r="A28" s="32"/>
      <c r="B28" s="14" t="s">
        <v>100</v>
      </c>
      <c r="C28" s="15" t="s">
        <v>154</v>
      </c>
      <c r="D28" s="14">
        <v>5</v>
      </c>
      <c r="E28" s="14">
        <v>5</v>
      </c>
      <c r="F28" s="14">
        <v>5</v>
      </c>
      <c r="G28" s="14">
        <v>5</v>
      </c>
      <c r="H28" s="14">
        <v>5</v>
      </c>
      <c r="I28" s="14">
        <v>5</v>
      </c>
      <c r="J28" s="16">
        <f t="shared" si="0"/>
        <v>5</v>
      </c>
      <c r="K28" s="35"/>
      <c r="L28" s="38"/>
      <c r="M28" s="38"/>
    </row>
    <row r="29" spans="1:13" ht="28" x14ac:dyDescent="0.15">
      <c r="A29" s="33"/>
      <c r="B29" s="14" t="s">
        <v>101</v>
      </c>
      <c r="C29" s="15" t="s">
        <v>155</v>
      </c>
      <c r="D29" s="14">
        <v>5</v>
      </c>
      <c r="E29" s="14">
        <v>5</v>
      </c>
      <c r="F29" s="14">
        <v>5</v>
      </c>
      <c r="G29" s="14">
        <v>4</v>
      </c>
      <c r="H29" s="14">
        <v>4</v>
      </c>
      <c r="I29" s="14">
        <v>2</v>
      </c>
      <c r="J29" s="16">
        <f t="shared" si="0"/>
        <v>4.166666666666667</v>
      </c>
      <c r="K29" s="36"/>
      <c r="L29" s="39"/>
      <c r="M29" s="39"/>
    </row>
  </sheetData>
  <autoFilter ref="A1:M1" xr:uid="{00000000-0009-0000-0000-000001000000}"/>
  <mergeCells count="18">
    <mergeCell ref="M11:M13"/>
    <mergeCell ref="A2:A7"/>
    <mergeCell ref="K8:K9"/>
    <mergeCell ref="A11:A13"/>
    <mergeCell ref="K11:K13"/>
    <mergeCell ref="L11:L13"/>
    <mergeCell ref="A25:A29"/>
    <mergeCell ref="K25:K29"/>
    <mergeCell ref="L25:L29"/>
    <mergeCell ref="M25:M29"/>
    <mergeCell ref="A14:A16"/>
    <mergeCell ref="K14:K16"/>
    <mergeCell ref="L14:L16"/>
    <mergeCell ref="M14:M16"/>
    <mergeCell ref="A17:A23"/>
    <mergeCell ref="K17:K23"/>
    <mergeCell ref="L17:L23"/>
    <mergeCell ref="M17:M23"/>
  </mergeCells>
  <conditionalFormatting sqref="D8:I29">
    <cfRule type="cellIs" dxfId="0" priority="1" operator="between">
      <formula>2</formula>
      <formula>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
  <sheetViews>
    <sheetView workbookViewId="0">
      <selection sqref="A1:XFD1048576"/>
    </sheetView>
  </sheetViews>
  <sheetFormatPr baseColWidth="10" defaultColWidth="11.5" defaultRowHeight="13" x14ac:dyDescent="0.15"/>
  <cols>
    <col min="1" max="1" width="28" style="11" bestFit="1" customWidth="1"/>
    <col min="2" max="2" width="6.33203125" style="11" bestFit="1" customWidth="1"/>
  </cols>
  <sheetData>
    <row r="1" spans="1:5" s="9" customFormat="1" x14ac:dyDescent="0.15">
      <c r="A1" s="8" t="s">
        <v>112</v>
      </c>
      <c r="B1" s="8" t="s">
        <v>113</v>
      </c>
    </row>
    <row r="2" spans="1:5" x14ac:dyDescent="0.15">
      <c r="A2" s="10" t="s">
        <v>18</v>
      </c>
      <c r="B2" s="11">
        <f>(0+2)/2</f>
        <v>1</v>
      </c>
      <c r="C2" s="10"/>
      <c r="D2" s="10"/>
      <c r="E2" s="10"/>
    </row>
    <row r="3" spans="1:5" x14ac:dyDescent="0.15">
      <c r="A3" s="10" t="s">
        <v>10</v>
      </c>
      <c r="B3" s="11">
        <f>(3+5)/2</f>
        <v>4</v>
      </c>
    </row>
    <row r="4" spans="1:5" x14ac:dyDescent="0.15">
      <c r="A4" s="10" t="s">
        <v>17</v>
      </c>
      <c r="B4" s="11">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AeroSafe Questionnaire Answers</vt:lpstr>
      <vt:lpstr>Summary Table</vt:lpstr>
      <vt:lpstr>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Alberto Petrucci</cp:lastModifiedBy>
  <dcterms:created xsi:type="dcterms:W3CDTF">2026-02-21T11:10:40Z</dcterms:created>
  <dcterms:modified xsi:type="dcterms:W3CDTF">2026-09-11T17:56:35Z</dcterms:modified>
</cp:coreProperties>
</file>